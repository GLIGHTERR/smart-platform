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hidden" name="Trang tính2" sheetId="2" r:id="rId5"/>
  </sheets>
  <definedNames/>
  <calcPr/>
  <extLst>
    <ext uri="GoogleSheetsCustomDataVersion2">
      <go:sheetsCustomData xmlns:go="http://customooxmlschemas.google.com/" r:id="rId6" roundtripDataChecksum="CIwzSSQ5Vw4aKlvpAB7mo8cHB/riAaMhsXLz/HO2j1A="/>
    </ext>
  </extLst>
</workbook>
</file>

<file path=xl/sharedStrings.xml><?xml version="1.0" encoding="utf-8"?>
<sst xmlns="http://schemas.openxmlformats.org/spreadsheetml/2006/main" count="228" uniqueCount="203">
  <si>
    <t>Smart Platform</t>
  </si>
  <si>
    <t>Khách hàng: Trường Đại học FPT</t>
  </si>
  <si>
    <t>Người tạo:</t>
  </si>
  <si>
    <t>Nguyễn Tuấn Nghĩa</t>
  </si>
  <si>
    <t>0,2.5</t>
  </si>
  <si>
    <t>Ngày tạo:</t>
  </si>
  <si>
    <t>#</t>
  </si>
  <si>
    <t>Features</t>
  </si>
  <si>
    <t>Effort (man-hours)</t>
  </si>
  <si>
    <t>Big</t>
  </si>
  <si>
    <t>Medium</t>
  </si>
  <si>
    <t>Small</t>
  </si>
  <si>
    <t>Description</t>
  </si>
  <si>
    <t>BA</t>
  </si>
  <si>
    <t>UIUX design</t>
  </si>
  <si>
    <t>Front-end</t>
  </si>
  <si>
    <t>App</t>
  </si>
  <si>
    <t>Back-end</t>
  </si>
  <si>
    <t>Testing</t>
  </si>
  <si>
    <t>PM</t>
  </si>
  <si>
    <t>Total</t>
  </si>
  <si>
    <t>Activity</t>
  </si>
  <si>
    <t>Android</t>
  </si>
  <si>
    <t>iOS</t>
  </si>
  <si>
    <t>Giai đoạn chuẩn bị</t>
  </si>
  <si>
    <t>Thu thập yêu cầu</t>
  </si>
  <si>
    <t>Viết WBS</t>
  </si>
  <si>
    <t>Viết tài liệu BRD</t>
  </si>
  <si>
    <t>Thuyết minh giải pháp</t>
  </si>
  <si>
    <t>Giai đoạn phát triển</t>
  </si>
  <si>
    <t>1. SmartAdmin</t>
  </si>
  <si>
    <t>1.1. Quản lý tài khoản</t>
  </si>
  <si>
    <t>1.1.1. Đăng ký/Đăng nhập</t>
  </si>
  <si>
    <t>Đăng ký tài khoản</t>
  </si>
  <si>
    <t>Đăng xuất</t>
  </si>
  <si>
    <t>Đăng nhập</t>
  </si>
  <si>
    <t>Quên mật khẩu</t>
  </si>
  <si>
    <t>1.1.2. Quản lý hồ sơ</t>
  </si>
  <si>
    <t>Xem thông tin cá nhân</t>
  </si>
  <si>
    <t>Cập nhật thông tin cá nhân</t>
  </si>
  <si>
    <t>Đổi mật khẩu</t>
  </si>
  <si>
    <t>1.2. Quản lý người dùng</t>
  </si>
  <si>
    <t>1.2.1. Quản lý tài khoản người thuê (*)</t>
  </si>
  <si>
    <t>Xem danh sách người thuê</t>
  </si>
  <si>
    <t>Xét duyệt đăng ký</t>
  </si>
  <si>
    <t>Khóa/mở khóa tài khoản</t>
  </si>
  <si>
    <t>Xem lịch sử hoạt động</t>
  </si>
  <si>
    <t>1.2.2. Quản lý tài khoản chủ trọ (*)</t>
  </si>
  <si>
    <t>Xem danh sách chủ trọ</t>
  </si>
  <si>
    <t>1.3. Quản lý nội dung</t>
  </si>
  <si>
    <t>1.3.1. Quản lý bài đăng phòng trọ (*)</t>
  </si>
  <si>
    <t>Xem danh sách bài đăng phòng trọ</t>
  </si>
  <si>
    <t>Gỡ bài vi phạm</t>
  </si>
  <si>
    <t>Chỉnh sửa thông tin</t>
  </si>
  <si>
    <t>1.3.2. Quản lý đánh giá/bình luận</t>
  </si>
  <si>
    <t>Xem các đánh giá/bình luận</t>
  </si>
  <si>
    <t>Xóa nội dung đánh giá/bình luận vi phạm</t>
  </si>
  <si>
    <t>1.3.3. Quản lý báo cáo vi phạm (*)</t>
  </si>
  <si>
    <t>Xử lý báo cáo từ người dùng</t>
  </si>
  <si>
    <t>Ghi nhận hành động xử lý</t>
  </si>
  <si>
    <t>1.4. Thống kê và báo cáo</t>
  </si>
  <si>
    <t>1.4.1. Dashboard tổng quan (**)</t>
  </si>
  <si>
    <t>Thống kê người dùng</t>
  </si>
  <si>
    <t>Thống kê nhà trọ</t>
  </si>
  <si>
    <t>Biểu đồ tương tác</t>
  </si>
  <si>
    <t>1.4.2. Báo cáo chi tiết (*)</t>
  </si>
  <si>
    <t>Xuất báo cáo theo khu vực</t>
  </si>
  <si>
    <t>Xuất báo cáo theo thời gian</t>
  </si>
  <si>
    <t>Phân tích xu hướng</t>
  </si>
  <si>
    <t>2. SmartTrọ</t>
  </si>
  <si>
    <t>2.1. Tài khoản và hồ sơ</t>
  </si>
  <si>
    <t>2.1.1. Đăng ký/Đăng nhập</t>
  </si>
  <si>
    <t>2.1.2. Quản lý hồ sơ</t>
  </si>
  <si>
    <t>Xem chữ ký điện tử</t>
  </si>
  <si>
    <t>Tạo chữ ký điện tử</t>
  </si>
  <si>
    <t>Cập nhật chữ ký điện tử</t>
  </si>
  <si>
    <t>2.1.3. Quản lý hợp đồng</t>
  </si>
  <si>
    <t>Xem hợp đồng</t>
  </si>
  <si>
    <t>Ký hợp đồng</t>
  </si>
  <si>
    <t>Huỷ hợp đồng</t>
  </si>
  <si>
    <t>2.2. Tìm kiếm nhà trọ</t>
  </si>
  <si>
    <t>2.2.1. Tìm kiếm nâng cao (**)</t>
  </si>
  <si>
    <t>Lọc theo khu vực</t>
  </si>
  <si>
    <t>Lọc theo giá</t>
  </si>
  <si>
    <t>Lọc theo tiện ích</t>
  </si>
  <si>
    <t>Lọc theo diện tích</t>
  </si>
  <si>
    <t>2.2.2. Xem chi tiết nhà trọ (*)</t>
  </si>
  <si>
    <t>Thông tin cơ bản</t>
  </si>
  <si>
    <t>Đánh giá và bình luận</t>
  </si>
  <si>
    <t>2.2.3. Lưu và theo dõi</t>
  </si>
  <si>
    <t>Lưu nhà trọ yêu thích</t>
  </si>
  <si>
    <t>Nhận thông báo cập nhật</t>
  </si>
  <si>
    <t>2.3. Tương tác</t>
  </si>
  <si>
    <t>2.3.1. Đặt lịch xem trọ (*)</t>
  </si>
  <si>
    <t>Chọn thời gian</t>
  </si>
  <si>
    <t>Gửi yêu cầu</t>
  </si>
  <si>
    <t>Nhận phản hồi</t>
  </si>
  <si>
    <t>2.3.2. Đánh giá và bình luận</t>
  </si>
  <si>
    <t>Viết đánh giá</t>
  </si>
  <si>
    <t>Đăng bình luận</t>
  </si>
  <si>
    <t>2.3.3. Báo cáo vấn đề</t>
  </si>
  <si>
    <t>Báo cáo vi phạm</t>
  </si>
  <si>
    <t>Theo dõi trạng thái báo cáo</t>
  </si>
  <si>
    <t>2.4 Quản lý sự cố</t>
  </si>
  <si>
    <t>2.4.1. Báo cáo hỏng hóc (*)</t>
  </si>
  <si>
    <t>Tạo báo cáo sự cố mới</t>
  </si>
  <si>
    <t>Cập nhật báo cáo</t>
  </si>
  <si>
    <t>Theo dõi tiến độ xử lý</t>
  </si>
  <si>
    <t>2.4.2. Lịch sử báo cáo (*)</t>
  </si>
  <si>
    <t>Xem các báo cáo đã tạo</t>
  </si>
  <si>
    <t>Đánh giá sau xử lý</t>
  </si>
  <si>
    <t>2.5 Thanh toán</t>
  </si>
  <si>
    <t>2.5.1. Quản lý hóa đơn (**)</t>
  </si>
  <si>
    <t>Xuất hóa đơn điện tử</t>
  </si>
  <si>
    <t>Lịch sử thanh toán</t>
  </si>
  <si>
    <t>Nhận thông báo đến hạn</t>
  </si>
  <si>
    <t>2.5.2. Thanh toán trực tuyến (**)</t>
  </si>
  <si>
    <t>Liên kết ngân hàng/ví điện tử</t>
  </si>
  <si>
    <t>Thanh toán thủ công</t>
  </si>
  <si>
    <t>Thanh toán tự động</t>
  </si>
  <si>
    <t>Đặt nhắc nhở thanh toán</t>
  </si>
  <si>
    <t>2.5.3. Theo dõi chi tiêu (**)</t>
  </si>
  <si>
    <t>Thống kê chi phí theo tháng</t>
  </si>
  <si>
    <t>Xuất báo cáo chi tiêu</t>
  </si>
  <si>
    <t>3. SmartChủ</t>
  </si>
  <si>
    <t>3.1. Quản lý tài khoản</t>
  </si>
  <si>
    <t>3.1.1. Đăng ký/Đăng nhập</t>
  </si>
  <si>
    <t>3.1.2. Hồ sơ chủ trọ</t>
  </si>
  <si>
    <t>Cập nhật thông tin cá nhân</t>
  </si>
  <si>
    <t>Xem thông tin doanh nghiệp</t>
  </si>
  <si>
    <t>Cập nhật thông tin doanh nghiệp</t>
  </si>
  <si>
    <t>Đổi mật khẩu</t>
  </si>
  <si>
    <t>3.2. Quản lý nhà trọ</t>
  </si>
  <si>
    <t>3.2.1. Quản lý nhà trọ (**)</t>
  </si>
  <si>
    <t>Danh sách nhà trọ</t>
  </si>
  <si>
    <t>Tạo nhà trọ</t>
  </si>
  <si>
    <t>Chi tiết nhà trọ</t>
  </si>
  <si>
    <t>Cập nhật thông tin nhà trọ</t>
  </si>
  <si>
    <t>Tạ̣o phòng trọ</t>
  </si>
  <si>
    <t>Cập nhật thông tin phòng trọ</t>
  </si>
  <si>
    <t>Lịch sử thuê phòng</t>
  </si>
  <si>
    <t>3.3. Tương tác với người thuê</t>
  </si>
  <si>
    <t>3.3.1. Quản lý lịch xem trọ (*)</t>
  </si>
  <si>
    <t>Xem yêu cầu xem trọ</t>
  </si>
  <si>
    <t>Phản hồi yêu cầu</t>
  </si>
  <si>
    <t>Quản lý lịch hẹn</t>
  </si>
  <si>
    <t>3.3.2. Phản hồi đánh giá</t>
  </si>
  <si>
    <t>Trả lời bình luận</t>
  </si>
  <si>
    <t>Giải quyết khiếu nại</t>
  </si>
  <si>
    <t>3.3.3. Thống kê hoạt động (*)</t>
  </si>
  <si>
    <t>Thống kê hoạt động</t>
  </si>
  <si>
    <t>3.4 Quản lý sự cố</t>
  </si>
  <si>
    <t>3.4.1. Tiếp nhận báo cáo (**)</t>
  </si>
  <si>
    <t>Nhận thông báo sự cố mới</t>
  </si>
  <si>
    <t>Phân loại mức độ ưu tiên</t>
  </si>
  <si>
    <t>Phản hồi cho người thuê</t>
  </si>
  <si>
    <t>3.4.2. Xử lý sự cố (**)</t>
  </si>
  <si>
    <t>Lập kế hoạch sửa chữa</t>
  </si>
  <si>
    <t>Cập nhật tiến độ</t>
  </si>
  <si>
    <t>Ghi nhận chi phí phát sinh</t>
  </si>
  <si>
    <t>3.4.3. Thống kê và báo cáo (**)</t>
  </si>
  <si>
    <t>Theo dõi các sự cố thường gặp</t>
  </si>
  <si>
    <t>Phân tích chi phí sửa chữa</t>
  </si>
  <si>
    <t>Lập kế hoạch bảo trì định kỳ</t>
  </si>
  <si>
    <t>3.5 Quản lý thanh toán</t>
  </si>
  <si>
    <t>3.5.1. Quản lý hóa đơn (**)</t>
  </si>
  <si>
    <t>Tạo hóa đơn tự động</t>
  </si>
  <si>
    <t>Tính toán phí phát sinh</t>
  </si>
  <si>
    <t>Gửi thông báo thanh toán</t>
  </si>
  <si>
    <t>3.5.2. Theo dõi thanh toán (**)</t>
  </si>
  <si>
    <t>Xác nhận thanh toán tự động</t>
  </si>
  <si>
    <t>Quản lý nợ phí</t>
  </si>
  <si>
    <t>Gửi nhắc nhở tự động</t>
  </si>
  <si>
    <t>3.5.3. Báo cáo tài chính (**)</t>
  </si>
  <si>
    <t>Thống kê doanh thu</t>
  </si>
  <si>
    <t>Quản lý chi phí</t>
  </si>
  <si>
    <t>Xuất báo cáo thuế</t>
  </si>
  <si>
    <t>Deployment</t>
  </si>
  <si>
    <t>Deploy on QAS</t>
  </si>
  <si>
    <t>QAS deployment</t>
  </si>
  <si>
    <t>Support deploy on Production</t>
  </si>
  <si>
    <t>Production support</t>
  </si>
  <si>
    <t>Total (MH)</t>
  </si>
  <si>
    <t>Total (MM)</t>
  </si>
  <si>
    <t>Function</t>
  </si>
  <si>
    <t>Feature</t>
  </si>
  <si>
    <t>Task</t>
  </si>
  <si>
    <t>Logic</t>
  </si>
  <si>
    <t>Set Menu Management</t>
  </si>
  <si>
    <t>Set Menu Theo Tuần</t>
  </si>
  <si>
    <t>Lậo danh sách món từng ngày</t>
  </si>
  <si>
    <t>Giao diện</t>
  </si>
  <si>
    <t>Lưu menu vào cSdd</t>
  </si>
  <si>
    <t>Set Menu theo BMI</t>
  </si>
  <si>
    <t>Input BMI (Chiều cao cân nặng</t>
  </si>
  <si>
    <t>Gọi ý nhóm BMI (Tăng cân, giảm cân, duy trì)</t>
  </si>
  <si>
    <t>Cá nhân hoá Menu</t>
  </si>
  <si>
    <t>Cá nhân theo dị ứng thành phần</t>
  </si>
  <si>
    <t xml:space="preserve">Kiêng thịt bò </t>
  </si>
  <si>
    <t>Cá nhân theo mục tiêu dinh dưỡng</t>
  </si>
  <si>
    <t xml:space="preserve">Low carb </t>
  </si>
  <si>
    <t>Gợi ý thực phẩm thay thế</t>
  </si>
  <si>
    <t>Thay cơm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</si>
</sst>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\.m"/>
  </numFmts>
  <fonts count="15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rgb="FFFFFFFF"/>
      <name val="Arial"/>
    </font>
    <font>
      <b/>
      <sz val="10.0"/>
      <color rgb="FFFFFFFF"/>
      <name val="Arial"/>
    </font>
    <font>
      <b/>
      <sz val="10.0"/>
      <color rgb="FF4472C4"/>
      <name val="Arial"/>
    </font>
    <font>
      <sz val="10.0"/>
      <color rgb="FF000000"/>
      <name val="Arial"/>
    </font>
    <font>
      <b/>
      <sz val="10.0"/>
      <color rgb="FF0B5394"/>
      <name val="Arial"/>
    </font>
    <font>
      <b/>
      <sz val="12.0"/>
      <color rgb="FFFFFFFF"/>
      <name val="Arial"/>
    </font>
    <font>
      <b/>
      <color theme="1"/>
      <name val="Arial"/>
    </font>
    <font>
      <b/>
      <color rgb="FFFFFFFF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66666"/>
        <bgColor rgb="FF666666"/>
      </patternFill>
    </fill>
    <fill>
      <patternFill patternType="solid">
        <fgColor rgb="FF1C4587"/>
        <bgColor rgb="FF1C4587"/>
      </patternFill>
    </fill>
  </fills>
  <borders count="2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999999"/>
      </left>
      <right style="thin">
        <color rgb="FF999999"/>
      </right>
      <top/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/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</border>
    <border>
      <left/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/>
      <right style="thin">
        <color rgb="FF999999"/>
      </right>
      <bottom style="thin">
        <color rgb="FF999999"/>
      </bottom>
    </border>
    <border>
      <left/>
      <right style="thin">
        <color rgb="FF999999"/>
      </right>
      <top/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/>
      <bottom/>
    </border>
    <border>
      <left/>
      <right style="thin">
        <color rgb="FF999999"/>
      </right>
      <top/>
      <bottom/>
    </border>
    <border>
      <left/>
      <right style="thin">
        <color rgb="FF999999"/>
      </right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left" vertical="center"/>
    </xf>
    <xf borderId="0" fillId="0" fontId="5" numFmtId="164" xfId="0" applyAlignment="1" applyFont="1" applyNumberFormat="1">
      <alignment horizontal="left" vertical="center"/>
    </xf>
    <xf borderId="3" fillId="2" fontId="3" numFmtId="0" xfId="0" applyAlignment="1" applyBorder="1" applyFont="1">
      <alignment vertical="center"/>
    </xf>
    <xf borderId="4" fillId="3" fontId="7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7" numFmtId="0" xfId="0" applyAlignment="1" applyBorder="1" applyFont="1">
      <alignment horizontal="right" vertical="center"/>
    </xf>
    <xf borderId="9" fillId="3" fontId="7" numFmtId="0" xfId="0" applyAlignment="1" applyBorder="1" applyFont="1">
      <alignment horizontal="left" vertical="center"/>
    </xf>
    <xf borderId="10" fillId="3" fontId="7" numFmtId="0" xfId="0" applyAlignment="1" applyBorder="1" applyFont="1">
      <alignment horizontal="right" vertical="center"/>
    </xf>
    <xf borderId="11" fillId="0" fontId="2" numFmtId="0" xfId="0" applyBorder="1" applyFont="1"/>
    <xf borderId="12" fillId="0" fontId="2" numFmtId="0" xfId="0" applyBorder="1" applyFont="1"/>
    <xf borderId="4" fillId="3" fontId="3" numFmtId="0" xfId="0" applyAlignment="1" applyBorder="1" applyFont="1">
      <alignment vertical="center"/>
    </xf>
    <xf borderId="13" fillId="4" fontId="7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ont="1">
      <alignment horizontal="right" vertical="center"/>
    </xf>
    <xf borderId="0" fillId="4" fontId="7" numFmtId="0" xfId="0" applyAlignment="1" applyFont="1">
      <alignment horizontal="center" vertical="center"/>
    </xf>
    <xf borderId="14" fillId="4" fontId="7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8" fillId="0" fontId="2" numFmtId="0" xfId="0" applyBorder="1" applyFont="1"/>
    <xf borderId="17" fillId="0" fontId="2" numFmtId="0" xfId="0" applyBorder="1" applyFont="1"/>
    <xf borderId="9" fillId="0" fontId="2" numFmtId="0" xfId="0" applyBorder="1" applyFont="1"/>
    <xf borderId="18" fillId="4" fontId="7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vertical="center"/>
    </xf>
    <xf borderId="5" fillId="5" fontId="7" numFmtId="0" xfId="0" applyAlignment="1" applyBorder="1" applyFont="1">
      <alignment shrinkToFit="0" vertical="center" wrapText="1"/>
    </xf>
    <xf borderId="8" fillId="5" fontId="3" numFmtId="0" xfId="0" applyAlignment="1" applyBorder="1" applyFont="1">
      <alignment vertical="center"/>
    </xf>
    <xf borderId="8" fillId="5" fontId="3" numFmtId="0" xfId="0" applyAlignment="1" applyBorder="1" applyFont="1">
      <alignment horizontal="left" vertical="center"/>
    </xf>
    <xf borderId="18" fillId="5" fontId="3" numFmtId="0" xfId="0" applyAlignment="1" applyBorder="1" applyFont="1">
      <alignment vertical="center"/>
    </xf>
    <xf borderId="19" fillId="5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20" fillId="0" fontId="8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shrinkToFit="0" vertical="center" wrapText="1"/>
    </xf>
    <xf borderId="8" fillId="0" fontId="3" numFmtId="165" xfId="0" applyAlignment="1" applyBorder="1" applyFont="1" applyNumberFormat="1">
      <alignment horizontal="right" vertical="center"/>
    </xf>
    <xf borderId="8" fillId="0" fontId="3" numFmtId="165" xfId="0" applyAlignment="1" applyBorder="1" applyFont="1" applyNumberFormat="1">
      <alignment horizontal="left" vertical="center"/>
    </xf>
    <xf borderId="8" fillId="0" fontId="3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vertical="center"/>
    </xf>
    <xf borderId="8" fillId="0" fontId="3" numFmtId="165" xfId="0" applyAlignment="1" applyBorder="1" applyFont="1" applyNumberFormat="1">
      <alignment vertical="center"/>
    </xf>
    <xf borderId="13" fillId="0" fontId="8" numFmtId="0" xfId="0" applyAlignment="1" applyBorder="1" applyFont="1">
      <alignment readingOrder="0" shrinkToFit="0" vertical="center" wrapText="1"/>
    </xf>
    <xf borderId="13" fillId="0" fontId="4" numFmtId="0" xfId="0" applyAlignment="1" applyBorder="1" applyFont="1">
      <alignment readingOrder="0" vertical="center"/>
    </xf>
    <xf borderId="20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right" vertical="center"/>
    </xf>
    <xf borderId="14" fillId="0" fontId="2" numFmtId="0" xfId="0" applyBorder="1" applyFont="1"/>
    <xf borderId="8" fillId="2" fontId="3" numFmtId="0" xfId="0" applyAlignment="1" applyBorder="1" applyFont="1">
      <alignment vertical="center"/>
    </xf>
    <xf borderId="13" fillId="0" fontId="9" numFmtId="0" xfId="0" applyAlignment="1" applyBorder="1" applyFont="1">
      <alignment readingOrder="0" shrinkToFit="0" vertical="center" wrapText="1"/>
    </xf>
    <xf borderId="20" fillId="0" fontId="3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readingOrder="0" shrinkToFit="0" vertical="center" wrapText="1"/>
    </xf>
    <xf borderId="20" fillId="2" fontId="3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vertical="center"/>
    </xf>
    <xf borderId="13" fillId="0" fontId="8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vertical="center"/>
    </xf>
    <xf borderId="20" fillId="0" fontId="4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horizontal="right"/>
    </xf>
    <xf borderId="13" fillId="0" fontId="9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20" fillId="0" fontId="9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vertical="center"/>
    </xf>
    <xf borderId="20" fillId="5" fontId="7" numFmtId="0" xfId="0" applyAlignment="1" applyBorder="1" applyFont="1">
      <alignment shrinkToFit="0" vertical="center" wrapText="1"/>
    </xf>
    <xf borderId="20" fillId="5" fontId="3" numFmtId="0" xfId="0" applyAlignment="1" applyBorder="1" applyFont="1">
      <alignment shrinkToFit="0" vertical="center" wrapText="1"/>
    </xf>
    <xf borderId="8" fillId="5" fontId="6" numFmtId="165" xfId="0" applyAlignment="1" applyBorder="1" applyFont="1" applyNumberFormat="1">
      <alignment horizontal="right" vertical="center"/>
    </xf>
    <xf borderId="8" fillId="5" fontId="6" numFmtId="165" xfId="0" applyAlignment="1" applyBorder="1" applyFont="1" applyNumberFormat="1">
      <alignment horizontal="left" vertical="center"/>
    </xf>
    <xf borderId="19" fillId="5" fontId="6" numFmtId="0" xfId="0" applyAlignment="1" applyBorder="1" applyFont="1">
      <alignment horizontal="right" vertical="center"/>
    </xf>
    <xf borderId="17" fillId="0" fontId="3" numFmtId="0" xfId="0" applyAlignment="1" applyBorder="1" applyFont="1">
      <alignment horizontal="center" vertical="center"/>
    </xf>
    <xf borderId="20" fillId="0" fontId="10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shrinkToFit="0" vertical="center" wrapText="1"/>
    </xf>
    <xf borderId="20" fillId="3" fontId="3" numFmtId="0" xfId="0" applyAlignment="1" applyBorder="1" applyFont="1">
      <alignment vertical="center"/>
    </xf>
    <xf borderId="20" fillId="3" fontId="3" numFmtId="0" xfId="0" applyAlignment="1" applyBorder="1" applyFont="1">
      <alignment shrinkToFit="0" vertical="center" wrapText="1"/>
    </xf>
    <xf borderId="20" fillId="3" fontId="7" numFmtId="0" xfId="0" applyAlignment="1" applyBorder="1" applyFont="1">
      <alignment horizontal="right" shrinkToFit="0" vertical="center" wrapText="1"/>
    </xf>
    <xf borderId="8" fillId="3" fontId="11" numFmtId="0" xfId="0" applyAlignment="1" applyBorder="1" applyFont="1">
      <alignment horizontal="right" vertical="center"/>
    </xf>
    <xf borderId="8" fillId="3" fontId="11" numFmtId="0" xfId="0" applyAlignment="1" applyBorder="1" applyFont="1">
      <alignment horizontal="left" vertical="center"/>
    </xf>
    <xf borderId="19" fillId="3" fontId="11" numFmtId="0" xfId="0" applyAlignment="1" applyBorder="1" applyFont="1">
      <alignment horizontal="right" vertical="center"/>
    </xf>
    <xf borderId="21" fillId="3" fontId="3" numFmtId="0" xfId="0" applyAlignment="1" applyBorder="1" applyFont="1">
      <alignment vertical="center"/>
    </xf>
    <xf borderId="15" fillId="3" fontId="11" numFmtId="0" xfId="0" applyAlignment="1" applyBorder="1" applyFont="1">
      <alignment horizontal="right" vertical="center"/>
    </xf>
    <xf borderId="15" fillId="3" fontId="11" numFmtId="0" xfId="0" applyAlignment="1" applyBorder="1" applyFont="1">
      <alignment horizontal="left" vertical="center"/>
    </xf>
    <xf borderId="22" fillId="3" fontId="11" numFmtId="4" xfId="0" applyAlignment="1" applyBorder="1" applyFont="1" applyNumberFormat="1">
      <alignment horizontal="right" vertical="center"/>
    </xf>
    <xf borderId="23" fillId="3" fontId="11" numFmtId="4" xfId="0" applyAlignment="1" applyBorder="1" applyFont="1" applyNumberFormat="1">
      <alignment horizontal="right" vertical="center"/>
    </xf>
    <xf borderId="24" fillId="0" fontId="3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12" numFmtId="0" xfId="0" applyFont="1"/>
    <xf borderId="0" fillId="0" fontId="4" numFmtId="0" xfId="0" applyFont="1"/>
    <xf borderId="0" fillId="6" fontId="13" numFmtId="0" xfId="0" applyFill="1" applyFont="1"/>
    <xf borderId="0" fillId="6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25.0"/>
    <col customWidth="1" min="3" max="3" width="29.88"/>
    <col customWidth="1" min="4" max="4" width="39.0"/>
    <col customWidth="1" hidden="1" min="5" max="5" width="35.38"/>
    <col customWidth="1" min="6" max="6" width="14.38"/>
    <col customWidth="1" min="7" max="7" width="7.0"/>
    <col customWidth="1" min="8" max="8" width="11.13"/>
    <col customWidth="1" min="9" max="9" width="10.13"/>
    <col customWidth="1" min="10" max="12" width="9.38"/>
    <col customWidth="1" min="13" max="13" width="8.63"/>
    <col customWidth="1" min="14" max="14" width="8.13"/>
    <col customWidth="1" min="15" max="15" width="15.13"/>
  </cols>
  <sheetData>
    <row r="1" ht="15.75" customHeight="1">
      <c r="A1" s="1" t="s">
        <v>0</v>
      </c>
      <c r="B1" s="2"/>
      <c r="C1" s="2"/>
      <c r="D1" s="3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7" t="s">
        <v>1</v>
      </c>
      <c r="D2" s="3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7" t="s">
        <v>2</v>
      </c>
      <c r="B3" s="4" t="s">
        <v>3</v>
      </c>
      <c r="C3" s="3"/>
      <c r="D3" s="3"/>
      <c r="E3" s="8"/>
      <c r="F3" s="9"/>
      <c r="G3" s="8">
        <v>0.4</v>
      </c>
      <c r="H3" s="4"/>
      <c r="I3" s="4"/>
      <c r="J3" s="4"/>
      <c r="K3" s="4"/>
      <c r="L3" s="4"/>
      <c r="M3" s="8" t="s">
        <v>4</v>
      </c>
      <c r="N3" s="8" t="s">
        <v>4</v>
      </c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A4" s="7" t="s">
        <v>5</v>
      </c>
      <c r="B4" s="10">
        <v>45702.0</v>
      </c>
      <c r="C4" s="3"/>
      <c r="D4" s="3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5.75" customHeight="1">
      <c r="A5" s="11"/>
      <c r="B5" s="4"/>
      <c r="C5" s="3"/>
      <c r="D5" s="3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5.75" customHeight="1">
      <c r="A6" s="12" t="s">
        <v>6</v>
      </c>
      <c r="B6" s="13" t="s">
        <v>7</v>
      </c>
      <c r="C6" s="14"/>
      <c r="D6" s="15"/>
      <c r="E6" s="16"/>
      <c r="F6" s="17"/>
      <c r="G6" s="18" t="s">
        <v>8</v>
      </c>
      <c r="H6" s="19"/>
      <c r="I6" s="19"/>
      <c r="J6" s="19"/>
      <c r="K6" s="19"/>
      <c r="L6" s="19"/>
      <c r="M6" s="19"/>
      <c r="N6" s="19"/>
      <c r="O6" s="2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5.75" customHeight="1">
      <c r="A7" s="21"/>
      <c r="B7" s="22" t="s">
        <v>9</v>
      </c>
      <c r="C7" s="22" t="s">
        <v>10</v>
      </c>
      <c r="D7" s="22" t="s">
        <v>11</v>
      </c>
      <c r="E7" s="23"/>
      <c r="F7" s="24" t="s">
        <v>12</v>
      </c>
      <c r="G7" s="25" t="s">
        <v>13</v>
      </c>
      <c r="H7" s="26" t="s">
        <v>14</v>
      </c>
      <c r="I7" s="24" t="s">
        <v>15</v>
      </c>
      <c r="J7" s="27" t="s">
        <v>16</v>
      </c>
      <c r="K7" s="28"/>
      <c r="L7" s="26" t="s">
        <v>17</v>
      </c>
      <c r="M7" s="26" t="s">
        <v>18</v>
      </c>
      <c r="N7" s="26" t="s">
        <v>19</v>
      </c>
      <c r="O7" s="26" t="s">
        <v>20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21"/>
      <c r="B8" s="29"/>
      <c r="C8" s="29"/>
      <c r="D8" s="29"/>
      <c r="E8" s="23" t="s">
        <v>21</v>
      </c>
      <c r="F8" s="30"/>
      <c r="G8" s="29"/>
      <c r="H8" s="28"/>
      <c r="I8" s="30"/>
      <c r="J8" s="31" t="s">
        <v>22</v>
      </c>
      <c r="K8" s="31" t="s">
        <v>23</v>
      </c>
      <c r="L8" s="28"/>
      <c r="M8" s="28"/>
      <c r="N8" s="28"/>
      <c r="O8" s="2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32"/>
      <c r="B9" s="33" t="s">
        <v>24</v>
      </c>
      <c r="C9" s="14"/>
      <c r="D9" s="15"/>
      <c r="E9" s="34"/>
      <c r="F9" s="35"/>
      <c r="G9" s="36"/>
      <c r="H9" s="36"/>
      <c r="I9" s="36"/>
      <c r="J9" s="37"/>
      <c r="K9" s="37"/>
      <c r="L9" s="36"/>
      <c r="M9" s="36"/>
      <c r="N9" s="36"/>
      <c r="O9" s="3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A10" s="38"/>
      <c r="B10" s="39" t="s">
        <v>25</v>
      </c>
      <c r="C10" s="40"/>
      <c r="D10" s="40"/>
      <c r="E10" s="41"/>
      <c r="F10" s="42"/>
      <c r="G10" s="43">
        <v>24.0</v>
      </c>
      <c r="H10" s="43">
        <v>0.0</v>
      </c>
      <c r="I10" s="43">
        <v>0.0</v>
      </c>
      <c r="J10" s="43">
        <v>0.0</v>
      </c>
      <c r="K10" s="43">
        <v>0.0</v>
      </c>
      <c r="L10" s="43">
        <v>0.0</v>
      </c>
      <c r="M10" s="43">
        <v>0.0</v>
      </c>
      <c r="N10" s="43">
        <v>40.0</v>
      </c>
      <c r="O10" s="43">
        <f t="shared" ref="O10:O13" si="1">SUM(G10:N10)</f>
        <v>64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38"/>
      <c r="B11" s="39" t="s">
        <v>26</v>
      </c>
      <c r="C11" s="40"/>
      <c r="D11" s="40"/>
      <c r="E11" s="43"/>
      <c r="F11" s="44"/>
      <c r="G11" s="43">
        <v>5.0</v>
      </c>
      <c r="H11" s="45">
        <v>0.0</v>
      </c>
      <c r="I11" s="45">
        <v>0.0</v>
      </c>
      <c r="J11" s="45">
        <v>0.0</v>
      </c>
      <c r="K11" s="45">
        <v>0.0</v>
      </c>
      <c r="L11" s="45">
        <v>0.0</v>
      </c>
      <c r="M11" s="45">
        <v>0.0</v>
      </c>
      <c r="N11" s="45">
        <v>0.0</v>
      </c>
      <c r="O11" s="43">
        <f t="shared" si="1"/>
        <v>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38"/>
      <c r="B12" s="39" t="s">
        <v>27</v>
      </c>
      <c r="C12" s="40"/>
      <c r="D12" s="40"/>
      <c r="E12" s="43"/>
      <c r="F12" s="44"/>
      <c r="G12" s="43">
        <v>7.0</v>
      </c>
      <c r="H12" s="43">
        <v>0.0</v>
      </c>
      <c r="I12" s="43">
        <v>0.0</v>
      </c>
      <c r="J12" s="43">
        <v>0.0</v>
      </c>
      <c r="K12" s="43">
        <v>0.0</v>
      </c>
      <c r="L12" s="43">
        <v>0.0</v>
      </c>
      <c r="M12" s="43">
        <v>0.0</v>
      </c>
      <c r="N12" s="43">
        <v>0.0</v>
      </c>
      <c r="O12" s="43">
        <f t="shared" si="1"/>
        <v>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38"/>
      <c r="B13" s="39" t="s">
        <v>28</v>
      </c>
      <c r="C13" s="40"/>
      <c r="D13" s="40"/>
      <c r="E13" s="41"/>
      <c r="F13" s="42"/>
      <c r="G13" s="43">
        <v>2.0</v>
      </c>
      <c r="H13" s="43">
        <v>2.0</v>
      </c>
      <c r="I13" s="43">
        <v>2.0</v>
      </c>
      <c r="J13" s="43">
        <v>2.0</v>
      </c>
      <c r="K13" s="43">
        <v>2.0</v>
      </c>
      <c r="L13" s="43">
        <v>2.0</v>
      </c>
      <c r="M13" s="43">
        <v>0.0</v>
      </c>
      <c r="N13" s="43">
        <v>2.0</v>
      </c>
      <c r="O13" s="43">
        <f t="shared" si="1"/>
        <v>14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32"/>
      <c r="B14" s="33" t="s">
        <v>29</v>
      </c>
      <c r="C14" s="14"/>
      <c r="D14" s="15"/>
      <c r="E14" s="34"/>
      <c r="F14" s="35"/>
      <c r="G14" s="37"/>
      <c r="H14" s="37"/>
      <c r="I14" s="37"/>
      <c r="J14" s="37"/>
      <c r="K14" s="37"/>
      <c r="L14" s="37"/>
      <c r="M14" s="37"/>
      <c r="N14" s="37"/>
      <c r="O14" s="3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38"/>
      <c r="B15" s="39" t="s">
        <v>30</v>
      </c>
      <c r="C15" s="40"/>
      <c r="D15" s="40"/>
      <c r="E15" s="46"/>
      <c r="F15" s="42"/>
      <c r="G15" s="46"/>
      <c r="H15" s="45"/>
      <c r="I15" s="45"/>
      <c r="J15" s="45"/>
      <c r="K15" s="45"/>
      <c r="L15" s="45"/>
      <c r="M15" s="45"/>
      <c r="N15" s="45"/>
      <c r="O15" s="4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38"/>
      <c r="B16" s="47" t="s">
        <v>31</v>
      </c>
      <c r="C16" s="48" t="s">
        <v>32</v>
      </c>
      <c r="D16" s="49" t="s">
        <v>33</v>
      </c>
      <c r="E16" s="50"/>
      <c r="F16" s="51"/>
      <c r="G16" s="52">
        <v>1.0</v>
      </c>
      <c r="H16" s="52">
        <v>1.0</v>
      </c>
      <c r="I16" s="50">
        <v>5.0</v>
      </c>
      <c r="J16" s="50">
        <v>5.0</v>
      </c>
      <c r="K16" s="50">
        <v>5.0</v>
      </c>
      <c r="L16" s="50">
        <v>5.0</v>
      </c>
      <c r="M16" s="50">
        <v>5.0</v>
      </c>
      <c r="N16" s="45"/>
      <c r="O16" s="4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38"/>
      <c r="B17" s="53"/>
      <c r="C17" s="53"/>
      <c r="D17" s="49" t="s">
        <v>34</v>
      </c>
      <c r="E17" s="50"/>
      <c r="F17" s="51"/>
      <c r="G17" s="52">
        <v>1.0</v>
      </c>
      <c r="H17" s="52">
        <v>1.0</v>
      </c>
      <c r="I17" s="50">
        <v>4.0</v>
      </c>
      <c r="J17" s="50">
        <v>4.0</v>
      </c>
      <c r="K17" s="50">
        <v>4.0</v>
      </c>
      <c r="L17" s="50">
        <v>4.0</v>
      </c>
      <c r="M17" s="50">
        <v>4.0</v>
      </c>
      <c r="N17" s="45"/>
      <c r="O17" s="4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38"/>
      <c r="B18" s="53"/>
      <c r="C18" s="53"/>
      <c r="D18" s="49" t="s">
        <v>35</v>
      </c>
      <c r="E18" s="50"/>
      <c r="F18" s="51"/>
      <c r="G18" s="52">
        <v>1.0</v>
      </c>
      <c r="H18" s="52">
        <v>1.0</v>
      </c>
      <c r="I18" s="50">
        <v>4.0</v>
      </c>
      <c r="J18" s="50">
        <v>4.0</v>
      </c>
      <c r="K18" s="50">
        <v>4.0</v>
      </c>
      <c r="L18" s="50">
        <v>4.0</v>
      </c>
      <c r="M18" s="50">
        <v>4.0</v>
      </c>
      <c r="N18" s="45"/>
      <c r="O18" s="4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38"/>
      <c r="B19" s="53"/>
      <c r="C19" s="29"/>
      <c r="D19" s="49" t="s">
        <v>36</v>
      </c>
      <c r="E19" s="50"/>
      <c r="F19" s="51"/>
      <c r="G19" s="52">
        <v>1.0</v>
      </c>
      <c r="H19" s="52">
        <v>1.0</v>
      </c>
      <c r="I19" s="50">
        <v>4.0</v>
      </c>
      <c r="J19" s="50">
        <v>4.0</v>
      </c>
      <c r="K19" s="50">
        <v>4.0</v>
      </c>
      <c r="L19" s="50">
        <v>4.0</v>
      </c>
      <c r="M19" s="50">
        <v>4.0</v>
      </c>
      <c r="N19" s="45"/>
      <c r="O19" s="4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38"/>
      <c r="B20" s="53"/>
      <c r="C20" s="48" t="s">
        <v>37</v>
      </c>
      <c r="D20" s="49" t="s">
        <v>38</v>
      </c>
      <c r="E20" s="50"/>
      <c r="F20" s="51"/>
      <c r="G20" s="52">
        <v>1.0</v>
      </c>
      <c r="H20" s="52">
        <v>1.0</v>
      </c>
      <c r="I20" s="50">
        <v>4.0</v>
      </c>
      <c r="J20" s="50">
        <v>5.0</v>
      </c>
      <c r="K20" s="50">
        <v>5.0</v>
      </c>
      <c r="L20" s="50">
        <v>5.0</v>
      </c>
      <c r="M20" s="50">
        <v>4.0</v>
      </c>
      <c r="N20" s="45"/>
      <c r="O20" s="54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38"/>
      <c r="B21" s="53"/>
      <c r="C21" s="53"/>
      <c r="D21" s="49" t="s">
        <v>39</v>
      </c>
      <c r="E21" s="50"/>
      <c r="F21" s="51"/>
      <c r="G21" s="52">
        <v>1.0</v>
      </c>
      <c r="H21" s="52">
        <v>1.0</v>
      </c>
      <c r="I21" s="50">
        <v>4.0</v>
      </c>
      <c r="J21" s="50">
        <v>5.0</v>
      </c>
      <c r="K21" s="50">
        <v>5.0</v>
      </c>
      <c r="L21" s="50">
        <v>5.0</v>
      </c>
      <c r="M21" s="50">
        <v>4.0</v>
      </c>
      <c r="N21" s="45"/>
      <c r="O21" s="5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38"/>
      <c r="B22" s="53"/>
      <c r="C22" s="29"/>
      <c r="D22" s="49" t="s">
        <v>40</v>
      </c>
      <c r="E22" s="50"/>
      <c r="F22" s="51"/>
      <c r="G22" s="52">
        <v>1.0</v>
      </c>
      <c r="H22" s="52">
        <v>1.0</v>
      </c>
      <c r="I22" s="50">
        <v>3.0</v>
      </c>
      <c r="J22" s="50">
        <v>3.0</v>
      </c>
      <c r="K22" s="50">
        <v>3.0</v>
      </c>
      <c r="L22" s="50">
        <v>3.0</v>
      </c>
      <c r="M22" s="50">
        <v>3.0</v>
      </c>
      <c r="N22" s="45"/>
      <c r="O22" s="54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38"/>
      <c r="B23" s="47" t="s">
        <v>41</v>
      </c>
      <c r="C23" s="55" t="s">
        <v>42</v>
      </c>
      <c r="D23" s="40" t="s">
        <v>43</v>
      </c>
      <c r="E23" s="43"/>
      <c r="F23" s="42"/>
      <c r="G23" s="43">
        <v>2.0</v>
      </c>
      <c r="H23" s="43">
        <v>2.0</v>
      </c>
      <c r="I23" s="45">
        <v>5.0</v>
      </c>
      <c r="J23" s="45">
        <v>4.0</v>
      </c>
      <c r="K23" s="45">
        <v>4.0</v>
      </c>
      <c r="L23" s="45">
        <v>4.0</v>
      </c>
      <c r="M23" s="45">
        <v>5.0</v>
      </c>
      <c r="N23" s="45"/>
      <c r="O23" s="5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38"/>
      <c r="B24" s="53"/>
      <c r="C24" s="53"/>
      <c r="D24" s="56" t="s">
        <v>44</v>
      </c>
      <c r="E24" s="41"/>
      <c r="F24" s="42"/>
      <c r="G24" s="43">
        <v>2.0</v>
      </c>
      <c r="H24" s="43">
        <v>2.0</v>
      </c>
      <c r="I24" s="45">
        <v>2.0</v>
      </c>
      <c r="J24" s="45">
        <v>3.0</v>
      </c>
      <c r="K24" s="45">
        <v>3.0</v>
      </c>
      <c r="L24" s="45">
        <v>3.0</v>
      </c>
      <c r="M24" s="45">
        <v>2.0</v>
      </c>
      <c r="N24" s="45"/>
      <c r="O24" s="5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38"/>
      <c r="B25" s="53"/>
      <c r="C25" s="53"/>
      <c r="D25" s="40" t="s">
        <v>45</v>
      </c>
      <c r="E25" s="41"/>
      <c r="F25" s="42"/>
      <c r="G25" s="43">
        <v>2.0</v>
      </c>
      <c r="H25" s="43">
        <v>2.0</v>
      </c>
      <c r="I25" s="45">
        <v>2.0</v>
      </c>
      <c r="J25" s="45">
        <v>3.0</v>
      </c>
      <c r="K25" s="45">
        <v>3.0</v>
      </c>
      <c r="L25" s="45">
        <v>3.0</v>
      </c>
      <c r="M25" s="45">
        <v>2.0</v>
      </c>
      <c r="N25" s="45"/>
      <c r="O25" s="5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38"/>
      <c r="B26" s="53"/>
      <c r="C26" s="29"/>
      <c r="D26" s="40" t="s">
        <v>46</v>
      </c>
      <c r="E26" s="41"/>
      <c r="F26" s="42"/>
      <c r="G26" s="43">
        <v>2.0</v>
      </c>
      <c r="H26" s="43">
        <v>2.0</v>
      </c>
      <c r="I26" s="45">
        <v>4.0</v>
      </c>
      <c r="J26" s="45">
        <v>4.0</v>
      </c>
      <c r="K26" s="45">
        <v>4.0</v>
      </c>
      <c r="L26" s="45">
        <v>4.0</v>
      </c>
      <c r="M26" s="45">
        <v>4.0</v>
      </c>
      <c r="N26" s="45"/>
      <c r="O26" s="5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38"/>
      <c r="B27" s="53"/>
      <c r="C27" s="55" t="s">
        <v>47</v>
      </c>
      <c r="D27" s="40" t="s">
        <v>48</v>
      </c>
      <c r="E27" s="41"/>
      <c r="F27" s="42"/>
      <c r="G27" s="43">
        <v>2.0</v>
      </c>
      <c r="H27" s="43">
        <v>2.0</v>
      </c>
      <c r="I27" s="45">
        <v>5.0</v>
      </c>
      <c r="J27" s="45">
        <v>4.0</v>
      </c>
      <c r="K27" s="45">
        <v>4.0</v>
      </c>
      <c r="L27" s="45">
        <v>4.0</v>
      </c>
      <c r="M27" s="45">
        <v>5.0</v>
      </c>
      <c r="N27" s="45"/>
      <c r="O27" s="5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38"/>
      <c r="B28" s="53"/>
      <c r="C28" s="53"/>
      <c r="D28" s="56" t="s">
        <v>44</v>
      </c>
      <c r="E28" s="41"/>
      <c r="F28" s="42"/>
      <c r="G28" s="43">
        <v>2.0</v>
      </c>
      <c r="H28" s="43">
        <v>2.0</v>
      </c>
      <c r="I28" s="45">
        <v>2.0</v>
      </c>
      <c r="J28" s="45">
        <v>3.0</v>
      </c>
      <c r="K28" s="45">
        <v>3.0</v>
      </c>
      <c r="L28" s="45">
        <v>3.0</v>
      </c>
      <c r="M28" s="45">
        <v>2.0</v>
      </c>
      <c r="N28" s="45"/>
      <c r="O28" s="5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38"/>
      <c r="B29" s="53"/>
      <c r="C29" s="53"/>
      <c r="D29" s="40" t="s">
        <v>45</v>
      </c>
      <c r="E29" s="41"/>
      <c r="F29" s="42"/>
      <c r="G29" s="43">
        <v>2.0</v>
      </c>
      <c r="H29" s="43">
        <v>2.0</v>
      </c>
      <c r="I29" s="45">
        <v>2.0</v>
      </c>
      <c r="J29" s="45">
        <v>3.0</v>
      </c>
      <c r="K29" s="45">
        <v>3.0</v>
      </c>
      <c r="L29" s="45">
        <v>3.0</v>
      </c>
      <c r="M29" s="45">
        <v>2.0</v>
      </c>
      <c r="N29" s="45"/>
      <c r="O29" s="5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38"/>
      <c r="B30" s="29"/>
      <c r="C30" s="29"/>
      <c r="D30" s="40" t="s">
        <v>46</v>
      </c>
      <c r="E30" s="41"/>
      <c r="F30" s="42"/>
      <c r="G30" s="43">
        <v>2.0</v>
      </c>
      <c r="H30" s="43">
        <v>2.0</v>
      </c>
      <c r="I30" s="45">
        <v>4.0</v>
      </c>
      <c r="J30" s="45">
        <v>4.0</v>
      </c>
      <c r="K30" s="45">
        <v>4.0</v>
      </c>
      <c r="L30" s="45">
        <v>4.0</v>
      </c>
      <c r="M30" s="45">
        <v>4.0</v>
      </c>
      <c r="N30" s="45"/>
      <c r="O30" s="5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38"/>
      <c r="B31" s="47" t="s">
        <v>49</v>
      </c>
      <c r="C31" s="57" t="s">
        <v>50</v>
      </c>
      <c r="D31" s="56" t="s">
        <v>51</v>
      </c>
      <c r="E31" s="41"/>
      <c r="F31" s="42"/>
      <c r="G31" s="43">
        <v>2.0</v>
      </c>
      <c r="H31" s="43">
        <v>2.0</v>
      </c>
      <c r="I31" s="45">
        <v>3.0</v>
      </c>
      <c r="J31" s="45">
        <v>3.0</v>
      </c>
      <c r="K31" s="45">
        <v>3.0</v>
      </c>
      <c r="L31" s="45">
        <v>3.0</v>
      </c>
      <c r="M31" s="45">
        <v>3.0</v>
      </c>
      <c r="N31" s="45"/>
      <c r="O31" s="5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38"/>
      <c r="B32" s="53"/>
      <c r="C32" s="53"/>
      <c r="D32" s="40" t="s">
        <v>52</v>
      </c>
      <c r="E32" s="41"/>
      <c r="F32" s="42"/>
      <c r="G32" s="43">
        <v>2.0</v>
      </c>
      <c r="H32" s="43">
        <v>2.0</v>
      </c>
      <c r="I32" s="45">
        <v>3.0</v>
      </c>
      <c r="J32" s="45">
        <v>3.0</v>
      </c>
      <c r="K32" s="45">
        <v>3.0</v>
      </c>
      <c r="L32" s="45">
        <v>3.0</v>
      </c>
      <c r="M32" s="45">
        <v>3.0</v>
      </c>
      <c r="N32" s="45"/>
      <c r="O32" s="5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38"/>
      <c r="B33" s="53"/>
      <c r="C33" s="29"/>
      <c r="D33" s="40" t="s">
        <v>53</v>
      </c>
      <c r="E33" s="41"/>
      <c r="F33" s="42"/>
      <c r="G33" s="43">
        <v>2.0</v>
      </c>
      <c r="H33" s="43">
        <v>2.0</v>
      </c>
      <c r="I33" s="45">
        <v>3.0</v>
      </c>
      <c r="J33" s="45">
        <v>3.0</v>
      </c>
      <c r="K33" s="45">
        <v>3.0</v>
      </c>
      <c r="L33" s="45">
        <v>3.0</v>
      </c>
      <c r="M33" s="45">
        <v>3.0</v>
      </c>
      <c r="N33" s="45"/>
      <c r="O33" s="4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38"/>
      <c r="B34" s="53"/>
      <c r="C34" s="57" t="s">
        <v>54</v>
      </c>
      <c r="D34" s="40" t="s">
        <v>55</v>
      </c>
      <c r="E34" s="41"/>
      <c r="F34" s="42"/>
      <c r="G34" s="43">
        <v>1.0</v>
      </c>
      <c r="H34" s="43">
        <v>1.0</v>
      </c>
      <c r="I34" s="45">
        <v>5.0</v>
      </c>
      <c r="J34" s="45">
        <v>4.0</v>
      </c>
      <c r="K34" s="45">
        <v>4.0</v>
      </c>
      <c r="L34" s="45">
        <v>4.0</v>
      </c>
      <c r="M34" s="45">
        <v>5.0</v>
      </c>
      <c r="N34" s="45"/>
      <c r="O34" s="4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38"/>
      <c r="B35" s="53"/>
      <c r="C35" s="29"/>
      <c r="D35" s="58" t="s">
        <v>56</v>
      </c>
      <c r="E35" s="41"/>
      <c r="F35" s="42"/>
      <c r="G35" s="43">
        <v>1.0</v>
      </c>
      <c r="H35" s="43">
        <v>1.0</v>
      </c>
      <c r="I35" s="45">
        <v>2.0</v>
      </c>
      <c r="J35" s="45">
        <v>3.0</v>
      </c>
      <c r="K35" s="45">
        <v>3.0</v>
      </c>
      <c r="L35" s="45">
        <v>3.0</v>
      </c>
      <c r="M35" s="45">
        <v>2.0</v>
      </c>
      <c r="N35" s="45"/>
      <c r="O35" s="45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38"/>
      <c r="B36" s="53"/>
      <c r="C36" s="55" t="s">
        <v>57</v>
      </c>
      <c r="D36" s="58" t="s">
        <v>58</v>
      </c>
      <c r="E36" s="41"/>
      <c r="F36" s="42"/>
      <c r="G36" s="43">
        <v>2.0</v>
      </c>
      <c r="H36" s="43">
        <v>2.0</v>
      </c>
      <c r="I36" s="45">
        <v>2.0</v>
      </c>
      <c r="J36" s="45">
        <v>2.0</v>
      </c>
      <c r="K36" s="45">
        <v>2.0</v>
      </c>
      <c r="L36" s="45">
        <v>2.0</v>
      </c>
      <c r="M36" s="45">
        <v>2.0</v>
      </c>
      <c r="N36" s="45"/>
      <c r="O36" s="45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38"/>
      <c r="B37" s="29"/>
      <c r="C37" s="29"/>
      <c r="D37" s="58" t="s">
        <v>59</v>
      </c>
      <c r="E37" s="41"/>
      <c r="F37" s="42"/>
      <c r="G37" s="43">
        <v>2.0</v>
      </c>
      <c r="H37" s="43">
        <v>2.0</v>
      </c>
      <c r="I37" s="45">
        <v>2.0</v>
      </c>
      <c r="J37" s="45">
        <v>2.0</v>
      </c>
      <c r="K37" s="45">
        <v>2.0</v>
      </c>
      <c r="L37" s="45">
        <v>2.0</v>
      </c>
      <c r="M37" s="45">
        <v>2.0</v>
      </c>
      <c r="N37" s="45"/>
      <c r="O37" s="4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38"/>
      <c r="B38" s="47" t="s">
        <v>60</v>
      </c>
      <c r="C38" s="55" t="s">
        <v>61</v>
      </c>
      <c r="D38" s="58" t="s">
        <v>62</v>
      </c>
      <c r="E38" s="41"/>
      <c r="F38" s="42"/>
      <c r="G38" s="43">
        <v>3.0</v>
      </c>
      <c r="H38" s="43">
        <v>3.0</v>
      </c>
      <c r="I38" s="45">
        <v>10.0</v>
      </c>
      <c r="J38" s="45">
        <v>10.0</v>
      </c>
      <c r="K38" s="45">
        <v>10.0</v>
      </c>
      <c r="L38" s="45">
        <v>10.0</v>
      </c>
      <c r="M38" s="45">
        <v>10.0</v>
      </c>
      <c r="N38" s="45"/>
      <c r="O38" s="45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59"/>
      <c r="B39" s="53"/>
      <c r="C39" s="53"/>
      <c r="D39" s="49" t="s">
        <v>63</v>
      </c>
      <c r="E39" s="50"/>
      <c r="F39" s="51"/>
      <c r="G39" s="43">
        <v>3.0</v>
      </c>
      <c r="H39" s="43">
        <v>3.0</v>
      </c>
      <c r="I39" s="50">
        <v>10.0</v>
      </c>
      <c r="J39" s="50">
        <v>10.0</v>
      </c>
      <c r="K39" s="50">
        <v>10.0</v>
      </c>
      <c r="L39" s="50">
        <v>10.0</v>
      </c>
      <c r="M39" s="50">
        <v>10.0</v>
      </c>
      <c r="N39" s="50"/>
      <c r="O39" s="50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59"/>
      <c r="B40" s="53"/>
      <c r="C40" s="29"/>
      <c r="D40" s="49" t="s">
        <v>64</v>
      </c>
      <c r="E40" s="50"/>
      <c r="F40" s="51"/>
      <c r="G40" s="43">
        <v>3.0</v>
      </c>
      <c r="H40" s="43">
        <v>3.0</v>
      </c>
      <c r="I40" s="50">
        <v>5.0</v>
      </c>
      <c r="J40" s="50">
        <v>5.0</v>
      </c>
      <c r="K40" s="50">
        <v>5.0</v>
      </c>
      <c r="L40" s="50">
        <v>5.0</v>
      </c>
      <c r="M40" s="50">
        <v>5.0</v>
      </c>
      <c r="N40" s="50"/>
      <c r="O40" s="50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59"/>
      <c r="B41" s="53"/>
      <c r="C41" s="48" t="s">
        <v>65</v>
      </c>
      <c r="D41" s="49" t="s">
        <v>66</v>
      </c>
      <c r="E41" s="50"/>
      <c r="F41" s="51"/>
      <c r="G41" s="43">
        <v>2.0</v>
      </c>
      <c r="H41" s="43">
        <v>2.0</v>
      </c>
      <c r="I41" s="50">
        <v>4.0</v>
      </c>
      <c r="J41" s="50">
        <v>5.0</v>
      </c>
      <c r="K41" s="50">
        <v>5.0</v>
      </c>
      <c r="L41" s="50">
        <v>5.0</v>
      </c>
      <c r="M41" s="50">
        <v>4.0</v>
      </c>
      <c r="N41" s="50"/>
      <c r="O41" s="50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59"/>
      <c r="B42" s="53"/>
      <c r="C42" s="53"/>
      <c r="D42" s="49" t="s">
        <v>67</v>
      </c>
      <c r="E42" s="50"/>
      <c r="F42" s="51"/>
      <c r="G42" s="43">
        <v>2.0</v>
      </c>
      <c r="H42" s="43">
        <v>2.0</v>
      </c>
      <c r="I42" s="50">
        <v>4.0</v>
      </c>
      <c r="J42" s="50">
        <v>5.0</v>
      </c>
      <c r="K42" s="50">
        <v>5.0</v>
      </c>
      <c r="L42" s="50">
        <v>5.0</v>
      </c>
      <c r="M42" s="50">
        <v>4.0</v>
      </c>
      <c r="N42" s="50"/>
      <c r="O42" s="50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59"/>
      <c r="B43" s="29"/>
      <c r="C43" s="29"/>
      <c r="D43" s="49" t="s">
        <v>68</v>
      </c>
      <c r="E43" s="50"/>
      <c r="F43" s="51"/>
      <c r="G43" s="43">
        <v>2.0</v>
      </c>
      <c r="H43" s="43">
        <v>2.0</v>
      </c>
      <c r="I43" s="50">
        <v>7.0</v>
      </c>
      <c r="J43" s="50">
        <v>10.0</v>
      </c>
      <c r="K43" s="50">
        <v>10.0</v>
      </c>
      <c r="L43" s="50">
        <v>10.0</v>
      </c>
      <c r="M43" s="50">
        <v>7.0</v>
      </c>
      <c r="N43" s="50"/>
      <c r="O43" s="5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59"/>
      <c r="B44" s="39" t="s">
        <v>69</v>
      </c>
      <c r="C44" s="49"/>
      <c r="D44" s="49"/>
      <c r="E44" s="50"/>
      <c r="F44" s="51"/>
      <c r="G44" s="52"/>
      <c r="H44" s="52"/>
      <c r="I44" s="50"/>
      <c r="J44" s="50"/>
      <c r="K44" s="50"/>
      <c r="L44" s="50"/>
      <c r="M44" s="50"/>
      <c r="N44" s="50"/>
      <c r="O44" s="50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59"/>
      <c r="B45" s="60" t="s">
        <v>70</v>
      </c>
      <c r="C45" s="61" t="s">
        <v>71</v>
      </c>
      <c r="D45" s="49" t="s">
        <v>33</v>
      </c>
      <c r="E45" s="50"/>
      <c r="F45" s="51"/>
      <c r="G45" s="52">
        <v>1.0</v>
      </c>
      <c r="H45" s="52">
        <v>1.0</v>
      </c>
      <c r="I45" s="50">
        <v>5.0</v>
      </c>
      <c r="J45" s="50">
        <v>5.0</v>
      </c>
      <c r="K45" s="50">
        <v>5.0</v>
      </c>
      <c r="L45" s="50">
        <v>5.0</v>
      </c>
      <c r="M45" s="50">
        <v>5.0</v>
      </c>
      <c r="N45" s="50"/>
      <c r="O45" s="50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59"/>
      <c r="B46" s="53"/>
      <c r="C46" s="53"/>
      <c r="D46" s="49" t="s">
        <v>34</v>
      </c>
      <c r="E46" s="50"/>
      <c r="F46" s="51"/>
      <c r="G46" s="52">
        <v>1.0</v>
      </c>
      <c r="H46" s="52">
        <v>1.0</v>
      </c>
      <c r="I46" s="50">
        <v>4.0</v>
      </c>
      <c r="J46" s="50">
        <v>4.0</v>
      </c>
      <c r="K46" s="50">
        <v>4.0</v>
      </c>
      <c r="L46" s="50">
        <v>4.0</v>
      </c>
      <c r="M46" s="50">
        <v>4.0</v>
      </c>
      <c r="N46" s="50"/>
      <c r="O46" s="50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59"/>
      <c r="B47" s="53"/>
      <c r="C47" s="53"/>
      <c r="D47" s="49" t="s">
        <v>35</v>
      </c>
      <c r="E47" s="50"/>
      <c r="F47" s="51"/>
      <c r="G47" s="52">
        <v>1.0</v>
      </c>
      <c r="H47" s="52">
        <v>1.0</v>
      </c>
      <c r="I47" s="50">
        <v>4.0</v>
      </c>
      <c r="J47" s="50">
        <v>4.0</v>
      </c>
      <c r="K47" s="50">
        <v>4.0</v>
      </c>
      <c r="L47" s="50">
        <v>4.0</v>
      </c>
      <c r="M47" s="50">
        <v>4.0</v>
      </c>
      <c r="N47" s="50"/>
      <c r="O47" s="50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59"/>
      <c r="B48" s="53"/>
      <c r="C48" s="29"/>
      <c r="D48" s="49" t="s">
        <v>36</v>
      </c>
      <c r="E48" s="50"/>
      <c r="F48" s="51"/>
      <c r="G48" s="52">
        <v>1.0</v>
      </c>
      <c r="H48" s="52">
        <v>1.0</v>
      </c>
      <c r="I48" s="50">
        <v>4.0</v>
      </c>
      <c r="J48" s="50">
        <v>4.0</v>
      </c>
      <c r="K48" s="50">
        <v>4.0</v>
      </c>
      <c r="L48" s="50">
        <v>4.0</v>
      </c>
      <c r="M48" s="50">
        <v>4.0</v>
      </c>
      <c r="N48" s="50"/>
      <c r="O48" s="50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59"/>
      <c r="B49" s="53"/>
      <c r="C49" s="61" t="s">
        <v>72</v>
      </c>
      <c r="D49" s="49" t="s">
        <v>38</v>
      </c>
      <c r="E49" s="50"/>
      <c r="F49" s="51"/>
      <c r="G49" s="52">
        <v>1.0</v>
      </c>
      <c r="H49" s="52">
        <v>1.0</v>
      </c>
      <c r="I49" s="50">
        <v>4.0</v>
      </c>
      <c r="J49" s="50">
        <v>5.0</v>
      </c>
      <c r="K49" s="50">
        <v>5.0</v>
      </c>
      <c r="L49" s="50">
        <v>5.0</v>
      </c>
      <c r="M49" s="50">
        <v>4.0</v>
      </c>
      <c r="N49" s="50"/>
      <c r="O49" s="50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59"/>
      <c r="B50" s="53"/>
      <c r="C50" s="53"/>
      <c r="D50" s="49" t="s">
        <v>39</v>
      </c>
      <c r="E50" s="50"/>
      <c r="F50" s="51"/>
      <c r="G50" s="52">
        <v>1.0</v>
      </c>
      <c r="H50" s="52">
        <v>1.0</v>
      </c>
      <c r="I50" s="50">
        <v>4.0</v>
      </c>
      <c r="J50" s="50">
        <v>5.0</v>
      </c>
      <c r="K50" s="50">
        <v>5.0</v>
      </c>
      <c r="L50" s="50">
        <v>5.0</v>
      </c>
      <c r="M50" s="50">
        <v>4.0</v>
      </c>
      <c r="N50" s="50"/>
      <c r="O50" s="50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59"/>
      <c r="B51" s="53"/>
      <c r="C51" s="53"/>
      <c r="D51" s="49" t="s">
        <v>40</v>
      </c>
      <c r="E51" s="50"/>
      <c r="F51" s="51"/>
      <c r="G51" s="52">
        <v>1.0</v>
      </c>
      <c r="H51" s="52">
        <v>1.0</v>
      </c>
      <c r="I51" s="50">
        <v>3.0</v>
      </c>
      <c r="J51" s="50">
        <v>3.0</v>
      </c>
      <c r="K51" s="50">
        <v>3.0</v>
      </c>
      <c r="L51" s="50">
        <v>3.0</v>
      </c>
      <c r="M51" s="50">
        <v>3.0</v>
      </c>
      <c r="N51" s="50"/>
      <c r="O51" s="50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59"/>
      <c r="B52" s="53"/>
      <c r="C52" s="53"/>
      <c r="D52" s="49" t="s">
        <v>73</v>
      </c>
      <c r="E52" s="50"/>
      <c r="F52" s="51"/>
      <c r="G52" s="52">
        <v>3.0</v>
      </c>
      <c r="H52" s="52">
        <v>3.0</v>
      </c>
      <c r="I52" s="50">
        <v>5.0</v>
      </c>
      <c r="J52" s="50">
        <v>7.0</v>
      </c>
      <c r="K52" s="50">
        <v>7.0</v>
      </c>
      <c r="L52" s="50">
        <v>7.0</v>
      </c>
      <c r="M52" s="50">
        <v>4.0</v>
      </c>
      <c r="N52" s="50"/>
      <c r="O52" s="50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59"/>
      <c r="B53" s="53"/>
      <c r="C53" s="53"/>
      <c r="D53" s="49" t="s">
        <v>74</v>
      </c>
      <c r="E53" s="50"/>
      <c r="F53" s="51"/>
      <c r="G53" s="52">
        <v>3.0</v>
      </c>
      <c r="H53" s="52">
        <v>3.0</v>
      </c>
      <c r="I53" s="50">
        <v>5.0</v>
      </c>
      <c r="J53" s="50">
        <v>7.0</v>
      </c>
      <c r="K53" s="50">
        <v>7.0</v>
      </c>
      <c r="L53" s="50">
        <v>7.0</v>
      </c>
      <c r="M53" s="50">
        <v>4.0</v>
      </c>
      <c r="N53" s="50"/>
      <c r="O53" s="50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59"/>
      <c r="B54" s="53"/>
      <c r="C54" s="29"/>
      <c r="D54" s="49" t="s">
        <v>75</v>
      </c>
      <c r="E54" s="50"/>
      <c r="F54" s="51"/>
      <c r="G54" s="52">
        <v>3.0</v>
      </c>
      <c r="H54" s="52">
        <v>3.0</v>
      </c>
      <c r="I54" s="50">
        <v>5.0</v>
      </c>
      <c r="J54" s="50">
        <v>7.0</v>
      </c>
      <c r="K54" s="50">
        <v>7.0</v>
      </c>
      <c r="L54" s="50">
        <v>7.0</v>
      </c>
      <c r="M54" s="50">
        <v>4.0</v>
      </c>
      <c r="N54" s="50"/>
      <c r="O54" s="50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59"/>
      <c r="B55" s="53"/>
      <c r="C55" s="61" t="s">
        <v>76</v>
      </c>
      <c r="D55" s="49" t="s">
        <v>77</v>
      </c>
      <c r="E55" s="50"/>
      <c r="F55" s="51"/>
      <c r="G55" s="43">
        <v>2.0</v>
      </c>
      <c r="H55" s="43">
        <v>2.0</v>
      </c>
      <c r="I55" s="45">
        <v>4.0</v>
      </c>
      <c r="J55" s="50">
        <v>6.0</v>
      </c>
      <c r="K55" s="50">
        <v>6.0</v>
      </c>
      <c r="L55" s="50">
        <v>5.0</v>
      </c>
      <c r="M55" s="45">
        <v>3.0</v>
      </c>
      <c r="N55" s="50"/>
      <c r="O55" s="50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59"/>
      <c r="B56" s="53"/>
      <c r="C56" s="53"/>
      <c r="D56" s="49" t="s">
        <v>78</v>
      </c>
      <c r="E56" s="50"/>
      <c r="F56" s="51"/>
      <c r="G56" s="43">
        <v>3.0</v>
      </c>
      <c r="H56" s="43">
        <v>3.0</v>
      </c>
      <c r="I56" s="45">
        <v>10.0</v>
      </c>
      <c r="J56" s="50">
        <v>10.0</v>
      </c>
      <c r="K56" s="50">
        <v>10.0</v>
      </c>
      <c r="L56" s="50">
        <v>10.0</v>
      </c>
      <c r="M56" s="45">
        <v>10.0</v>
      </c>
      <c r="N56" s="50"/>
      <c r="O56" s="50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59"/>
      <c r="B57" s="29"/>
      <c r="C57" s="29"/>
      <c r="D57" s="49" t="s">
        <v>79</v>
      </c>
      <c r="E57" s="50"/>
      <c r="F57" s="51"/>
      <c r="G57" s="43">
        <v>3.0</v>
      </c>
      <c r="H57" s="43">
        <v>3.0</v>
      </c>
      <c r="I57" s="45">
        <v>10.0</v>
      </c>
      <c r="J57" s="50">
        <v>10.0</v>
      </c>
      <c r="K57" s="50">
        <v>10.0</v>
      </c>
      <c r="L57" s="50">
        <v>10.0</v>
      </c>
      <c r="M57" s="45">
        <v>10.0</v>
      </c>
      <c r="N57" s="50"/>
      <c r="O57" s="50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59"/>
      <c r="B58" s="60" t="s">
        <v>80</v>
      </c>
      <c r="C58" s="61" t="s">
        <v>81</v>
      </c>
      <c r="D58" s="49" t="s">
        <v>82</v>
      </c>
      <c r="E58" s="50"/>
      <c r="F58" s="51"/>
      <c r="G58" s="52">
        <v>3.0</v>
      </c>
      <c r="H58" s="52">
        <v>3.0</v>
      </c>
      <c r="I58" s="50">
        <v>2.0</v>
      </c>
      <c r="J58" s="50">
        <v>3.0</v>
      </c>
      <c r="K58" s="50">
        <v>3.0</v>
      </c>
      <c r="L58" s="50">
        <v>3.0</v>
      </c>
      <c r="M58" s="50">
        <v>2.0</v>
      </c>
      <c r="N58" s="50"/>
      <c r="O58" s="50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59"/>
      <c r="B59" s="53"/>
      <c r="C59" s="53"/>
      <c r="D59" s="49" t="s">
        <v>83</v>
      </c>
      <c r="E59" s="50"/>
      <c r="F59" s="51"/>
      <c r="G59" s="52">
        <v>3.0</v>
      </c>
      <c r="H59" s="52">
        <v>3.0</v>
      </c>
      <c r="I59" s="50">
        <v>2.0</v>
      </c>
      <c r="J59" s="50">
        <v>3.0</v>
      </c>
      <c r="K59" s="50">
        <v>3.0</v>
      </c>
      <c r="L59" s="50">
        <v>3.0</v>
      </c>
      <c r="M59" s="50">
        <v>2.0</v>
      </c>
      <c r="N59" s="50"/>
      <c r="O59" s="50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59"/>
      <c r="B60" s="53"/>
      <c r="C60" s="53"/>
      <c r="D60" s="49" t="s">
        <v>84</v>
      </c>
      <c r="E60" s="50"/>
      <c r="F60" s="51"/>
      <c r="G60" s="52">
        <v>3.0</v>
      </c>
      <c r="H60" s="52">
        <v>3.0</v>
      </c>
      <c r="I60" s="50">
        <v>2.0</v>
      </c>
      <c r="J60" s="50">
        <v>3.0</v>
      </c>
      <c r="K60" s="50">
        <v>3.0</v>
      </c>
      <c r="L60" s="50">
        <v>3.0</v>
      </c>
      <c r="M60" s="50">
        <v>2.0</v>
      </c>
      <c r="N60" s="50"/>
      <c r="O60" s="50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59"/>
      <c r="B61" s="53"/>
      <c r="C61" s="29"/>
      <c r="D61" s="49" t="s">
        <v>85</v>
      </c>
      <c r="E61" s="50"/>
      <c r="F61" s="51"/>
      <c r="G61" s="52">
        <v>3.0</v>
      </c>
      <c r="H61" s="52">
        <v>3.0</v>
      </c>
      <c r="I61" s="50">
        <v>3.0</v>
      </c>
      <c r="J61" s="50">
        <v>3.0</v>
      </c>
      <c r="K61" s="50">
        <v>3.0</v>
      </c>
      <c r="L61" s="50">
        <v>3.0</v>
      </c>
      <c r="M61" s="50">
        <v>3.0</v>
      </c>
      <c r="N61" s="50"/>
      <c r="O61" s="50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59"/>
      <c r="B62" s="53"/>
      <c r="C62" s="61" t="s">
        <v>86</v>
      </c>
      <c r="D62" s="49" t="s">
        <v>87</v>
      </c>
      <c r="E62" s="50"/>
      <c r="F62" s="51"/>
      <c r="G62" s="52">
        <v>2.0</v>
      </c>
      <c r="H62" s="52">
        <v>2.0</v>
      </c>
      <c r="I62" s="50">
        <v>3.0</v>
      </c>
      <c r="J62" s="50">
        <v>4.0</v>
      </c>
      <c r="K62" s="50">
        <v>4.0</v>
      </c>
      <c r="L62" s="50">
        <v>4.0</v>
      </c>
      <c r="M62" s="50">
        <v>3.0</v>
      </c>
      <c r="N62" s="50"/>
      <c r="O62" s="50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59"/>
      <c r="B63" s="53"/>
      <c r="C63" s="29"/>
      <c r="D63" s="49" t="s">
        <v>88</v>
      </c>
      <c r="E63" s="50"/>
      <c r="F63" s="51"/>
      <c r="G63" s="52">
        <v>2.0</v>
      </c>
      <c r="H63" s="52">
        <v>2.0</v>
      </c>
      <c r="I63" s="50">
        <v>4.0</v>
      </c>
      <c r="J63" s="50">
        <v>4.0</v>
      </c>
      <c r="K63" s="50">
        <v>4.0</v>
      </c>
      <c r="L63" s="50">
        <v>4.0</v>
      </c>
      <c r="M63" s="50">
        <v>4.0</v>
      </c>
      <c r="N63" s="50"/>
      <c r="O63" s="50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59"/>
      <c r="B64" s="53"/>
      <c r="C64" s="61" t="s">
        <v>89</v>
      </c>
      <c r="D64" s="49" t="s">
        <v>90</v>
      </c>
      <c r="E64" s="50"/>
      <c r="F64" s="51"/>
      <c r="G64" s="52">
        <v>1.0</v>
      </c>
      <c r="H64" s="52">
        <v>1.0</v>
      </c>
      <c r="I64" s="50">
        <v>2.0</v>
      </c>
      <c r="J64" s="50">
        <v>2.0</v>
      </c>
      <c r="K64" s="50">
        <v>2.0</v>
      </c>
      <c r="L64" s="50">
        <v>2.0</v>
      </c>
      <c r="M64" s="50">
        <v>2.0</v>
      </c>
      <c r="N64" s="50"/>
      <c r="O64" s="50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59"/>
      <c r="B65" s="29"/>
      <c r="C65" s="29"/>
      <c r="D65" s="49" t="s">
        <v>91</v>
      </c>
      <c r="E65" s="50"/>
      <c r="F65" s="51"/>
      <c r="G65" s="52">
        <v>1.0</v>
      </c>
      <c r="H65" s="52">
        <v>1.0</v>
      </c>
      <c r="I65" s="50">
        <v>3.0</v>
      </c>
      <c r="J65" s="50">
        <v>2.0</v>
      </c>
      <c r="K65" s="50">
        <v>2.0</v>
      </c>
      <c r="L65" s="50">
        <v>2.0</v>
      </c>
      <c r="M65" s="50">
        <v>3.0</v>
      </c>
      <c r="N65" s="50"/>
      <c r="O65" s="50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59"/>
      <c r="B66" s="60" t="s">
        <v>92</v>
      </c>
      <c r="C66" s="61" t="s">
        <v>93</v>
      </c>
      <c r="D66" s="49" t="s">
        <v>94</v>
      </c>
      <c r="E66" s="50"/>
      <c r="F66" s="51"/>
      <c r="G66" s="52">
        <v>2.0</v>
      </c>
      <c r="H66" s="52">
        <v>2.0</v>
      </c>
      <c r="I66" s="50">
        <v>3.0</v>
      </c>
      <c r="J66" s="50">
        <v>4.0</v>
      </c>
      <c r="K66" s="50">
        <v>4.0</v>
      </c>
      <c r="L66" s="50">
        <v>4.0</v>
      </c>
      <c r="M66" s="50">
        <v>3.0</v>
      </c>
      <c r="N66" s="50"/>
      <c r="O66" s="50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59"/>
      <c r="B67" s="53"/>
      <c r="C67" s="53"/>
      <c r="D67" s="49" t="s">
        <v>95</v>
      </c>
      <c r="E67" s="50"/>
      <c r="F67" s="51"/>
      <c r="G67" s="52">
        <v>2.0</v>
      </c>
      <c r="H67" s="52">
        <v>2.0</v>
      </c>
      <c r="I67" s="50">
        <v>3.0</v>
      </c>
      <c r="J67" s="50">
        <v>3.0</v>
      </c>
      <c r="K67" s="50">
        <v>3.0</v>
      </c>
      <c r="L67" s="50">
        <v>3.0</v>
      </c>
      <c r="M67" s="50">
        <v>3.0</v>
      </c>
      <c r="N67" s="50"/>
      <c r="O67" s="50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59"/>
      <c r="B68" s="53"/>
      <c r="C68" s="29"/>
      <c r="D68" s="49" t="s">
        <v>96</v>
      </c>
      <c r="E68" s="50"/>
      <c r="F68" s="51"/>
      <c r="G68" s="52">
        <v>2.0</v>
      </c>
      <c r="H68" s="52">
        <v>2.0</v>
      </c>
      <c r="I68" s="50">
        <v>3.0</v>
      </c>
      <c r="J68" s="50">
        <v>3.0</v>
      </c>
      <c r="K68" s="50">
        <v>3.0</v>
      </c>
      <c r="L68" s="50">
        <v>3.0</v>
      </c>
      <c r="M68" s="50">
        <v>3.0</v>
      </c>
      <c r="N68" s="50"/>
      <c r="O68" s="50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59"/>
      <c r="B69" s="53"/>
      <c r="C69" s="61" t="s">
        <v>97</v>
      </c>
      <c r="D69" s="49" t="s">
        <v>98</v>
      </c>
      <c r="E69" s="50"/>
      <c r="F69" s="51"/>
      <c r="G69" s="52">
        <v>1.0</v>
      </c>
      <c r="H69" s="52">
        <v>1.0</v>
      </c>
      <c r="I69" s="50">
        <v>3.0</v>
      </c>
      <c r="J69" s="50">
        <v>3.0</v>
      </c>
      <c r="K69" s="50">
        <v>3.0</v>
      </c>
      <c r="L69" s="50">
        <v>3.0</v>
      </c>
      <c r="M69" s="50">
        <v>3.0</v>
      </c>
      <c r="N69" s="50"/>
      <c r="O69" s="50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59"/>
      <c r="B70" s="53"/>
      <c r="C70" s="29"/>
      <c r="D70" s="49" t="s">
        <v>99</v>
      </c>
      <c r="E70" s="50"/>
      <c r="F70" s="51"/>
      <c r="G70" s="52">
        <v>1.0</v>
      </c>
      <c r="H70" s="52">
        <v>1.0</v>
      </c>
      <c r="I70" s="50">
        <v>3.0</v>
      </c>
      <c r="J70" s="50">
        <v>3.0</v>
      </c>
      <c r="K70" s="50">
        <v>3.0</v>
      </c>
      <c r="L70" s="50">
        <v>3.0</v>
      </c>
      <c r="M70" s="50">
        <v>3.0</v>
      </c>
      <c r="N70" s="50"/>
      <c r="O70" s="50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59"/>
      <c r="B71" s="53"/>
      <c r="C71" s="61" t="s">
        <v>100</v>
      </c>
      <c r="D71" s="49" t="s">
        <v>101</v>
      </c>
      <c r="E71" s="50"/>
      <c r="F71" s="51"/>
      <c r="G71" s="52">
        <v>1.0</v>
      </c>
      <c r="H71" s="52">
        <v>1.0</v>
      </c>
      <c r="I71" s="50">
        <v>3.0</v>
      </c>
      <c r="J71" s="50">
        <v>2.0</v>
      </c>
      <c r="K71" s="50">
        <v>2.0</v>
      </c>
      <c r="L71" s="50">
        <v>2.0</v>
      </c>
      <c r="M71" s="50">
        <v>3.0</v>
      </c>
      <c r="N71" s="50"/>
      <c r="O71" s="50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59"/>
      <c r="B72" s="29"/>
      <c r="C72" s="29"/>
      <c r="D72" s="49" t="s">
        <v>102</v>
      </c>
      <c r="E72" s="50"/>
      <c r="F72" s="51"/>
      <c r="G72" s="52">
        <v>1.0</v>
      </c>
      <c r="H72" s="52">
        <v>1.0</v>
      </c>
      <c r="I72" s="50">
        <v>4.0</v>
      </c>
      <c r="J72" s="50">
        <v>2.0</v>
      </c>
      <c r="K72" s="50">
        <v>2.0</v>
      </c>
      <c r="L72" s="50">
        <v>2.0</v>
      </c>
      <c r="M72" s="50">
        <v>4.0</v>
      </c>
      <c r="N72" s="50"/>
      <c r="O72" s="50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59"/>
      <c r="B73" s="60" t="s">
        <v>103</v>
      </c>
      <c r="C73" s="61" t="s">
        <v>104</v>
      </c>
      <c r="D73" s="49" t="s">
        <v>105</v>
      </c>
      <c r="E73" s="50"/>
      <c r="F73" s="51"/>
      <c r="G73" s="52">
        <v>2.0</v>
      </c>
      <c r="H73" s="52">
        <v>2.0</v>
      </c>
      <c r="I73" s="50">
        <v>4.0</v>
      </c>
      <c r="J73" s="50">
        <v>3.0</v>
      </c>
      <c r="K73" s="50">
        <v>3.0</v>
      </c>
      <c r="L73" s="50">
        <v>3.0</v>
      </c>
      <c r="M73" s="50">
        <v>4.0</v>
      </c>
      <c r="N73" s="50"/>
      <c r="O73" s="50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59"/>
      <c r="B74" s="53"/>
      <c r="C74" s="53"/>
      <c r="D74" s="49" t="s">
        <v>106</v>
      </c>
      <c r="E74" s="50"/>
      <c r="F74" s="51"/>
      <c r="G74" s="52">
        <v>2.0</v>
      </c>
      <c r="H74" s="52">
        <v>2.0</v>
      </c>
      <c r="I74" s="50">
        <v>4.0</v>
      </c>
      <c r="J74" s="50">
        <v>3.0</v>
      </c>
      <c r="K74" s="50">
        <v>3.0</v>
      </c>
      <c r="L74" s="50">
        <v>3.0</v>
      </c>
      <c r="M74" s="50">
        <v>4.0</v>
      </c>
      <c r="N74" s="50"/>
      <c r="O74" s="50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59"/>
      <c r="B75" s="53"/>
      <c r="C75" s="29"/>
      <c r="D75" s="49" t="s">
        <v>107</v>
      </c>
      <c r="E75" s="50"/>
      <c r="F75" s="51"/>
      <c r="G75" s="52">
        <v>2.0</v>
      </c>
      <c r="H75" s="52">
        <v>2.0</v>
      </c>
      <c r="I75" s="50">
        <v>4.0</v>
      </c>
      <c r="J75" s="50">
        <v>2.0</v>
      </c>
      <c r="K75" s="50">
        <v>2.0</v>
      </c>
      <c r="L75" s="50">
        <v>2.0</v>
      </c>
      <c r="M75" s="50">
        <v>4.0</v>
      </c>
      <c r="N75" s="50"/>
      <c r="O75" s="50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59"/>
      <c r="B76" s="53"/>
      <c r="C76" s="61" t="s">
        <v>108</v>
      </c>
      <c r="D76" s="49" t="s">
        <v>109</v>
      </c>
      <c r="E76" s="50"/>
      <c r="F76" s="51"/>
      <c r="G76" s="52">
        <v>2.0</v>
      </c>
      <c r="H76" s="52">
        <v>2.0</v>
      </c>
      <c r="I76" s="50">
        <v>3.0</v>
      </c>
      <c r="J76" s="50">
        <v>3.0</v>
      </c>
      <c r="K76" s="50">
        <v>3.0</v>
      </c>
      <c r="L76" s="50">
        <v>3.0</v>
      </c>
      <c r="M76" s="50">
        <v>3.0</v>
      </c>
      <c r="N76" s="50"/>
      <c r="O76" s="50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59"/>
      <c r="B77" s="29"/>
      <c r="C77" s="29"/>
      <c r="D77" s="49" t="s">
        <v>110</v>
      </c>
      <c r="E77" s="50"/>
      <c r="F77" s="51"/>
      <c r="G77" s="52">
        <v>2.0</v>
      </c>
      <c r="H77" s="52">
        <v>2.0</v>
      </c>
      <c r="I77" s="50">
        <v>3.0</v>
      </c>
      <c r="J77" s="50">
        <v>3.0</v>
      </c>
      <c r="K77" s="50">
        <v>3.0</v>
      </c>
      <c r="L77" s="50">
        <v>3.0</v>
      </c>
      <c r="M77" s="50">
        <v>3.0</v>
      </c>
      <c r="N77" s="50"/>
      <c r="O77" s="50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59"/>
      <c r="B78" s="60" t="s">
        <v>111</v>
      </c>
      <c r="C78" s="61" t="s">
        <v>112</v>
      </c>
      <c r="D78" s="49" t="s">
        <v>113</v>
      </c>
      <c r="E78" s="50"/>
      <c r="F78" s="51"/>
      <c r="G78" s="52">
        <v>3.0</v>
      </c>
      <c r="H78" s="52">
        <v>3.0</v>
      </c>
      <c r="I78" s="50">
        <v>10.0</v>
      </c>
      <c r="J78" s="50">
        <v>10.0</v>
      </c>
      <c r="K78" s="50">
        <v>10.0</v>
      </c>
      <c r="L78" s="50">
        <v>10.0</v>
      </c>
      <c r="M78" s="50">
        <v>10.0</v>
      </c>
      <c r="N78" s="50"/>
      <c r="O78" s="50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59"/>
      <c r="B79" s="53"/>
      <c r="C79" s="53"/>
      <c r="D79" s="49" t="s">
        <v>114</v>
      </c>
      <c r="E79" s="50"/>
      <c r="F79" s="51"/>
      <c r="G79" s="52">
        <v>3.0</v>
      </c>
      <c r="H79" s="52">
        <v>3.0</v>
      </c>
      <c r="I79" s="50">
        <v>3.0</v>
      </c>
      <c r="J79" s="50">
        <v>5.0</v>
      </c>
      <c r="K79" s="50">
        <v>5.0</v>
      </c>
      <c r="L79" s="50">
        <v>5.0</v>
      </c>
      <c r="M79" s="50">
        <v>3.0</v>
      </c>
      <c r="N79" s="50"/>
      <c r="O79" s="50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59"/>
      <c r="B80" s="53"/>
      <c r="C80" s="29"/>
      <c r="D80" s="49" t="s">
        <v>115</v>
      </c>
      <c r="E80" s="50"/>
      <c r="F80" s="51"/>
      <c r="G80" s="52">
        <v>3.0</v>
      </c>
      <c r="H80" s="52">
        <v>3.0</v>
      </c>
      <c r="I80" s="50">
        <v>4.0</v>
      </c>
      <c r="J80" s="50">
        <v>6.0</v>
      </c>
      <c r="K80" s="50">
        <v>6.0</v>
      </c>
      <c r="L80" s="50">
        <v>6.0</v>
      </c>
      <c r="M80" s="50">
        <v>4.0</v>
      </c>
      <c r="N80" s="50"/>
      <c r="O80" s="50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59"/>
      <c r="B81" s="53"/>
      <c r="C81" s="61" t="s">
        <v>116</v>
      </c>
      <c r="D81" s="49" t="s">
        <v>117</v>
      </c>
      <c r="E81" s="50"/>
      <c r="F81" s="51"/>
      <c r="G81" s="52">
        <v>3.0</v>
      </c>
      <c r="H81" s="52">
        <v>3.0</v>
      </c>
      <c r="I81" s="50">
        <v>7.0</v>
      </c>
      <c r="J81" s="50">
        <v>10.0</v>
      </c>
      <c r="K81" s="50">
        <v>10.0</v>
      </c>
      <c r="L81" s="50">
        <v>10.0</v>
      </c>
      <c r="M81" s="50">
        <v>7.0</v>
      </c>
      <c r="N81" s="50"/>
      <c r="O81" s="50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59"/>
      <c r="B82" s="53"/>
      <c r="C82" s="53"/>
      <c r="D82" s="49" t="s">
        <v>118</v>
      </c>
      <c r="E82" s="50"/>
      <c r="F82" s="51"/>
      <c r="G82" s="52">
        <v>3.0</v>
      </c>
      <c r="H82" s="52">
        <v>3.0</v>
      </c>
      <c r="I82" s="50">
        <v>7.0</v>
      </c>
      <c r="J82" s="50">
        <v>10.0</v>
      </c>
      <c r="K82" s="50">
        <v>10.0</v>
      </c>
      <c r="L82" s="50">
        <v>10.0</v>
      </c>
      <c r="M82" s="50">
        <v>7.0</v>
      </c>
      <c r="N82" s="50"/>
      <c r="O82" s="50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59"/>
      <c r="B83" s="53"/>
      <c r="C83" s="53"/>
      <c r="D83" s="49" t="s">
        <v>119</v>
      </c>
      <c r="E83" s="50"/>
      <c r="F83" s="51"/>
      <c r="G83" s="52">
        <v>3.0</v>
      </c>
      <c r="H83" s="52">
        <v>3.0</v>
      </c>
      <c r="I83" s="50">
        <v>7.0</v>
      </c>
      <c r="J83" s="50">
        <v>10.0</v>
      </c>
      <c r="K83" s="50">
        <v>10.0</v>
      </c>
      <c r="L83" s="50">
        <v>10.0</v>
      </c>
      <c r="M83" s="50">
        <v>7.0</v>
      </c>
      <c r="N83" s="50"/>
      <c r="O83" s="50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59"/>
      <c r="B84" s="53"/>
      <c r="C84" s="53"/>
      <c r="D84" s="62" t="s">
        <v>115</v>
      </c>
      <c r="E84" s="63"/>
      <c r="F84" s="63"/>
      <c r="G84" s="64">
        <v>3.0</v>
      </c>
      <c r="H84" s="64">
        <v>3.0</v>
      </c>
      <c r="I84" s="64">
        <v>4.0</v>
      </c>
      <c r="J84" s="64">
        <v>6.0</v>
      </c>
      <c r="K84" s="64">
        <v>6.0</v>
      </c>
      <c r="L84" s="64">
        <v>6.0</v>
      </c>
      <c r="M84" s="64">
        <v>4.0</v>
      </c>
      <c r="N84" s="50"/>
      <c r="O84" s="50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59"/>
      <c r="B85" s="53"/>
      <c r="C85" s="29"/>
      <c r="D85" s="49" t="s">
        <v>120</v>
      </c>
      <c r="E85" s="50"/>
      <c r="F85" s="51"/>
      <c r="G85" s="52">
        <v>3.0</v>
      </c>
      <c r="H85" s="52">
        <v>3.0</v>
      </c>
      <c r="I85" s="50">
        <v>4.0</v>
      </c>
      <c r="J85" s="50">
        <v>6.0</v>
      </c>
      <c r="K85" s="50">
        <v>6.0</v>
      </c>
      <c r="L85" s="50">
        <v>6.0</v>
      </c>
      <c r="M85" s="50">
        <v>4.0</v>
      </c>
      <c r="N85" s="50"/>
      <c r="O85" s="50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59"/>
      <c r="B86" s="53"/>
      <c r="C86" s="61" t="s">
        <v>121</v>
      </c>
      <c r="D86" s="49" t="s">
        <v>122</v>
      </c>
      <c r="E86" s="50"/>
      <c r="F86" s="51"/>
      <c r="G86" s="52">
        <v>3.0</v>
      </c>
      <c r="H86" s="52">
        <v>3.0</v>
      </c>
      <c r="I86" s="50">
        <v>7.0</v>
      </c>
      <c r="J86" s="50">
        <v>10.0</v>
      </c>
      <c r="K86" s="50">
        <v>10.0</v>
      </c>
      <c r="L86" s="50">
        <v>10.0</v>
      </c>
      <c r="M86" s="50">
        <v>7.0</v>
      </c>
      <c r="N86" s="50"/>
      <c r="O86" s="50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59"/>
      <c r="B87" s="29"/>
      <c r="C87" s="29"/>
      <c r="D87" s="49" t="s">
        <v>123</v>
      </c>
      <c r="E87" s="50"/>
      <c r="F87" s="51"/>
      <c r="G87" s="52">
        <v>3.0</v>
      </c>
      <c r="H87" s="52">
        <v>3.0</v>
      </c>
      <c r="I87" s="50">
        <v>4.0</v>
      </c>
      <c r="J87" s="50">
        <v>6.0</v>
      </c>
      <c r="K87" s="50">
        <v>6.0</v>
      </c>
      <c r="L87" s="50">
        <v>6.0</v>
      </c>
      <c r="M87" s="50">
        <v>4.0</v>
      </c>
      <c r="N87" s="50"/>
      <c r="O87" s="50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59"/>
      <c r="B88" s="39" t="s">
        <v>124</v>
      </c>
      <c r="C88" s="49"/>
      <c r="D88" s="49"/>
      <c r="E88" s="50"/>
      <c r="F88" s="51"/>
      <c r="G88" s="52"/>
      <c r="H88" s="52"/>
      <c r="I88" s="50"/>
      <c r="J88" s="50"/>
      <c r="K88" s="50"/>
      <c r="L88" s="50"/>
      <c r="M88" s="50"/>
      <c r="N88" s="50"/>
      <c r="O88" s="50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38"/>
      <c r="B89" s="60" t="s">
        <v>125</v>
      </c>
      <c r="C89" s="65" t="s">
        <v>126</v>
      </c>
      <c r="D89" s="40" t="s">
        <v>33</v>
      </c>
      <c r="E89" s="43"/>
      <c r="F89" s="44"/>
      <c r="G89" s="43">
        <v>1.0</v>
      </c>
      <c r="H89" s="43">
        <v>1.0</v>
      </c>
      <c r="I89" s="50">
        <v>5.0</v>
      </c>
      <c r="J89" s="50">
        <v>5.0</v>
      </c>
      <c r="K89" s="50">
        <v>5.0</v>
      </c>
      <c r="L89" s="50">
        <v>5.0</v>
      </c>
      <c r="M89" s="50">
        <v>5.0</v>
      </c>
      <c r="N89" s="45"/>
      <c r="O89" s="45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38"/>
      <c r="B90" s="53"/>
      <c r="C90" s="53"/>
      <c r="D90" s="49" t="s">
        <v>34</v>
      </c>
      <c r="E90" s="43"/>
      <c r="F90" s="44"/>
      <c r="G90" s="43">
        <v>1.0</v>
      </c>
      <c r="H90" s="43">
        <v>1.0</v>
      </c>
      <c r="I90" s="50">
        <v>4.0</v>
      </c>
      <c r="J90" s="50">
        <v>4.0</v>
      </c>
      <c r="K90" s="50">
        <v>4.0</v>
      </c>
      <c r="L90" s="50">
        <v>4.0</v>
      </c>
      <c r="M90" s="50">
        <v>4.0</v>
      </c>
      <c r="N90" s="45"/>
      <c r="O90" s="45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38"/>
      <c r="B91" s="53"/>
      <c r="C91" s="53"/>
      <c r="D91" s="40" t="s">
        <v>35</v>
      </c>
      <c r="E91" s="43"/>
      <c r="F91" s="44"/>
      <c r="G91" s="43">
        <v>1.0</v>
      </c>
      <c r="H91" s="43">
        <v>1.0</v>
      </c>
      <c r="I91" s="50">
        <v>4.0</v>
      </c>
      <c r="J91" s="50">
        <v>4.0</v>
      </c>
      <c r="K91" s="50">
        <v>4.0</v>
      </c>
      <c r="L91" s="50">
        <v>4.0</v>
      </c>
      <c r="M91" s="50">
        <v>4.0</v>
      </c>
      <c r="N91" s="45"/>
      <c r="O91" s="45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38"/>
      <c r="B92" s="53"/>
      <c r="C92" s="29"/>
      <c r="D92" s="49" t="s">
        <v>36</v>
      </c>
      <c r="E92" s="50"/>
      <c r="F92" s="51"/>
      <c r="G92" s="52">
        <v>1.0</v>
      </c>
      <c r="H92" s="52">
        <v>1.0</v>
      </c>
      <c r="I92" s="50">
        <v>4.0</v>
      </c>
      <c r="J92" s="50">
        <v>4.0</v>
      </c>
      <c r="K92" s="50">
        <v>4.0</v>
      </c>
      <c r="L92" s="50">
        <v>4.0</v>
      </c>
      <c r="M92" s="50">
        <v>4.0</v>
      </c>
      <c r="N92" s="45"/>
      <c r="O92" s="45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38"/>
      <c r="B93" s="53"/>
      <c r="C93" s="65" t="s">
        <v>127</v>
      </c>
      <c r="D93" s="40" t="s">
        <v>38</v>
      </c>
      <c r="E93" s="43"/>
      <c r="F93" s="44"/>
      <c r="G93" s="43">
        <v>1.0</v>
      </c>
      <c r="H93" s="43">
        <v>1.0</v>
      </c>
      <c r="I93" s="45">
        <v>4.0</v>
      </c>
      <c r="J93" s="50">
        <v>5.0</v>
      </c>
      <c r="K93" s="50">
        <v>5.0</v>
      </c>
      <c r="L93" s="50">
        <v>5.0</v>
      </c>
      <c r="M93" s="45">
        <v>4.0</v>
      </c>
      <c r="N93" s="45"/>
      <c r="O93" s="45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38"/>
      <c r="B94" s="53"/>
      <c r="C94" s="53"/>
      <c r="D94" s="40" t="s">
        <v>128</v>
      </c>
      <c r="E94" s="43"/>
      <c r="F94" s="44"/>
      <c r="G94" s="43">
        <v>1.0</v>
      </c>
      <c r="H94" s="43">
        <v>1.0</v>
      </c>
      <c r="I94" s="45">
        <v>4.0</v>
      </c>
      <c r="J94" s="50">
        <v>5.0</v>
      </c>
      <c r="K94" s="50">
        <v>5.0</v>
      </c>
      <c r="L94" s="50">
        <v>5.0</v>
      </c>
      <c r="M94" s="45">
        <v>4.0</v>
      </c>
      <c r="N94" s="45"/>
      <c r="O94" s="45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38"/>
      <c r="B95" s="53"/>
      <c r="C95" s="53"/>
      <c r="D95" s="40" t="s">
        <v>129</v>
      </c>
      <c r="E95" s="43"/>
      <c r="F95" s="44"/>
      <c r="G95" s="43">
        <v>1.0</v>
      </c>
      <c r="H95" s="43">
        <v>1.0</v>
      </c>
      <c r="I95" s="45">
        <v>4.0</v>
      </c>
      <c r="J95" s="50">
        <v>5.0</v>
      </c>
      <c r="K95" s="50">
        <v>5.0</v>
      </c>
      <c r="L95" s="50">
        <v>5.0</v>
      </c>
      <c r="M95" s="45">
        <v>4.0</v>
      </c>
      <c r="N95" s="45"/>
      <c r="O95" s="45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38"/>
      <c r="B96" s="53"/>
      <c r="C96" s="53"/>
      <c r="D96" s="40" t="s">
        <v>130</v>
      </c>
      <c r="E96" s="43"/>
      <c r="F96" s="44"/>
      <c r="G96" s="43">
        <v>1.0</v>
      </c>
      <c r="H96" s="43">
        <v>1.0</v>
      </c>
      <c r="I96" s="45">
        <v>4.0</v>
      </c>
      <c r="J96" s="50">
        <v>5.0</v>
      </c>
      <c r="K96" s="50">
        <v>5.0</v>
      </c>
      <c r="L96" s="50">
        <v>5.0</v>
      </c>
      <c r="M96" s="45">
        <v>4.0</v>
      </c>
      <c r="N96" s="45"/>
      <c r="O96" s="45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38"/>
      <c r="B97" s="53"/>
      <c r="C97" s="53"/>
      <c r="D97" s="49" t="s">
        <v>73</v>
      </c>
      <c r="E97" s="50"/>
      <c r="F97" s="51"/>
      <c r="G97" s="52">
        <v>3.0</v>
      </c>
      <c r="H97" s="52">
        <v>3.0</v>
      </c>
      <c r="I97" s="50">
        <v>5.0</v>
      </c>
      <c r="J97" s="50">
        <v>7.0</v>
      </c>
      <c r="K97" s="50">
        <v>7.0</v>
      </c>
      <c r="L97" s="50">
        <v>7.0</v>
      </c>
      <c r="M97" s="50">
        <v>4.0</v>
      </c>
      <c r="N97" s="45"/>
      <c r="O97" s="45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38"/>
      <c r="B98" s="53"/>
      <c r="C98" s="53"/>
      <c r="D98" s="49" t="s">
        <v>74</v>
      </c>
      <c r="E98" s="50"/>
      <c r="F98" s="51"/>
      <c r="G98" s="52">
        <v>3.0</v>
      </c>
      <c r="H98" s="52">
        <v>3.0</v>
      </c>
      <c r="I98" s="50">
        <v>5.0</v>
      </c>
      <c r="J98" s="50">
        <v>7.0</v>
      </c>
      <c r="K98" s="50">
        <v>7.0</v>
      </c>
      <c r="L98" s="50">
        <v>7.0</v>
      </c>
      <c r="M98" s="50">
        <v>4.0</v>
      </c>
      <c r="N98" s="45"/>
      <c r="O98" s="45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38"/>
      <c r="B99" s="53"/>
      <c r="C99" s="53"/>
      <c r="D99" s="49" t="s">
        <v>75</v>
      </c>
      <c r="E99" s="50"/>
      <c r="F99" s="51"/>
      <c r="G99" s="52">
        <v>3.0</v>
      </c>
      <c r="H99" s="52">
        <v>3.0</v>
      </c>
      <c r="I99" s="50">
        <v>5.0</v>
      </c>
      <c r="J99" s="50">
        <v>7.0</v>
      </c>
      <c r="K99" s="50">
        <v>7.0</v>
      </c>
      <c r="L99" s="50">
        <v>7.0</v>
      </c>
      <c r="M99" s="50">
        <v>4.0</v>
      </c>
      <c r="N99" s="45"/>
      <c r="O99" s="45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38"/>
      <c r="B100" s="29"/>
      <c r="C100" s="29"/>
      <c r="D100" s="40" t="s">
        <v>131</v>
      </c>
      <c r="E100" s="43"/>
      <c r="F100" s="44"/>
      <c r="G100" s="52">
        <v>1.0</v>
      </c>
      <c r="H100" s="52">
        <v>1.0</v>
      </c>
      <c r="I100" s="50">
        <v>3.0</v>
      </c>
      <c r="J100" s="50">
        <v>3.0</v>
      </c>
      <c r="K100" s="50">
        <v>3.0</v>
      </c>
      <c r="L100" s="50">
        <v>3.0</v>
      </c>
      <c r="M100" s="50">
        <v>3.0</v>
      </c>
      <c r="N100" s="45"/>
      <c r="O100" s="45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38"/>
      <c r="B101" s="60" t="s">
        <v>132</v>
      </c>
      <c r="C101" s="65" t="s">
        <v>133</v>
      </c>
      <c r="D101" s="40" t="s">
        <v>134</v>
      </c>
      <c r="E101" s="43"/>
      <c r="F101" s="66"/>
      <c r="G101" s="43">
        <v>3.0</v>
      </c>
      <c r="H101" s="43">
        <v>3.0</v>
      </c>
      <c r="I101" s="45">
        <v>7.0</v>
      </c>
      <c r="J101" s="50">
        <v>6.0</v>
      </c>
      <c r="K101" s="50">
        <v>6.0</v>
      </c>
      <c r="L101" s="50">
        <v>6.0</v>
      </c>
      <c r="M101" s="45">
        <v>4.0</v>
      </c>
      <c r="N101" s="45"/>
      <c r="O101" s="45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38"/>
      <c r="B102" s="53"/>
      <c r="C102" s="53"/>
      <c r="D102" s="40" t="s">
        <v>135</v>
      </c>
      <c r="E102" s="43"/>
      <c r="F102" s="66"/>
      <c r="G102" s="43">
        <v>3.0</v>
      </c>
      <c r="H102" s="43">
        <v>3.0</v>
      </c>
      <c r="I102" s="45">
        <v>10.0</v>
      </c>
      <c r="J102" s="50">
        <v>6.0</v>
      </c>
      <c r="K102" s="50">
        <v>6.0</v>
      </c>
      <c r="L102" s="50">
        <v>6.0</v>
      </c>
      <c r="M102" s="45">
        <v>10.0</v>
      </c>
      <c r="N102" s="45"/>
      <c r="O102" s="45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38"/>
      <c r="B103" s="53"/>
      <c r="C103" s="53"/>
      <c r="D103" s="40" t="s">
        <v>136</v>
      </c>
      <c r="E103" s="43"/>
      <c r="F103" s="66"/>
      <c r="G103" s="43">
        <v>3.0</v>
      </c>
      <c r="H103" s="43">
        <v>3.0</v>
      </c>
      <c r="I103" s="45">
        <v>7.0</v>
      </c>
      <c r="J103" s="50">
        <v>6.0</v>
      </c>
      <c r="K103" s="50">
        <v>6.0</v>
      </c>
      <c r="L103" s="50">
        <v>6.0</v>
      </c>
      <c r="M103" s="45">
        <v>4.0</v>
      </c>
      <c r="N103" s="45"/>
      <c r="O103" s="45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38"/>
      <c r="B104" s="53"/>
      <c r="C104" s="53"/>
      <c r="D104" s="40" t="s">
        <v>137</v>
      </c>
      <c r="E104" s="43"/>
      <c r="F104" s="66"/>
      <c r="G104" s="43">
        <v>3.0</v>
      </c>
      <c r="H104" s="43">
        <v>3.0</v>
      </c>
      <c r="I104" s="45">
        <v>8.0</v>
      </c>
      <c r="J104" s="50">
        <v>6.0</v>
      </c>
      <c r="K104" s="50">
        <v>6.0</v>
      </c>
      <c r="L104" s="50">
        <v>6.0</v>
      </c>
      <c r="M104" s="45">
        <v>8.0</v>
      </c>
      <c r="N104" s="45"/>
      <c r="O104" s="45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38"/>
      <c r="B105" s="53"/>
      <c r="C105" s="53"/>
      <c r="D105" s="40" t="s">
        <v>138</v>
      </c>
      <c r="E105" s="43"/>
      <c r="F105" s="66"/>
      <c r="G105" s="43">
        <v>3.0</v>
      </c>
      <c r="H105" s="43">
        <v>3.0</v>
      </c>
      <c r="I105" s="45">
        <v>10.0</v>
      </c>
      <c r="J105" s="50">
        <v>6.0</v>
      </c>
      <c r="K105" s="50">
        <v>6.0</v>
      </c>
      <c r="L105" s="50">
        <v>6.0</v>
      </c>
      <c r="M105" s="45">
        <v>10.0</v>
      </c>
      <c r="N105" s="45"/>
      <c r="O105" s="45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38"/>
      <c r="B106" s="53"/>
      <c r="C106" s="53"/>
      <c r="D106" s="40" t="s">
        <v>139</v>
      </c>
      <c r="E106" s="43"/>
      <c r="F106" s="44"/>
      <c r="G106" s="43">
        <v>3.0</v>
      </c>
      <c r="H106" s="43">
        <v>3.0</v>
      </c>
      <c r="I106" s="45">
        <v>8.0</v>
      </c>
      <c r="J106" s="50">
        <v>6.0</v>
      </c>
      <c r="K106" s="50">
        <v>6.0</v>
      </c>
      <c r="L106" s="50">
        <v>6.0</v>
      </c>
      <c r="M106" s="45">
        <v>8.0</v>
      </c>
      <c r="N106" s="45"/>
      <c r="O106" s="45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38"/>
      <c r="B107" s="29"/>
      <c r="C107" s="29"/>
      <c r="D107" s="40" t="s">
        <v>140</v>
      </c>
      <c r="E107" s="43"/>
      <c r="F107" s="44"/>
      <c r="G107" s="43">
        <v>3.0</v>
      </c>
      <c r="H107" s="43">
        <v>3.0</v>
      </c>
      <c r="I107" s="45">
        <v>5.0</v>
      </c>
      <c r="J107" s="50">
        <v>6.0</v>
      </c>
      <c r="K107" s="50">
        <v>6.0</v>
      </c>
      <c r="L107" s="50">
        <v>6.0</v>
      </c>
      <c r="M107" s="45">
        <v>5.0</v>
      </c>
      <c r="N107" s="45"/>
      <c r="O107" s="45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38"/>
      <c r="B108" s="60" t="s">
        <v>141</v>
      </c>
      <c r="C108" s="65" t="s">
        <v>142</v>
      </c>
      <c r="D108" s="40" t="s">
        <v>143</v>
      </c>
      <c r="E108" s="43"/>
      <c r="F108" s="44"/>
      <c r="G108" s="43">
        <v>2.0</v>
      </c>
      <c r="H108" s="43">
        <v>2.0</v>
      </c>
      <c r="I108" s="45">
        <v>4.0</v>
      </c>
      <c r="J108" s="50">
        <v>5.0</v>
      </c>
      <c r="K108" s="50">
        <v>5.0</v>
      </c>
      <c r="L108" s="50">
        <v>5.0</v>
      </c>
      <c r="M108" s="45">
        <v>4.0</v>
      </c>
      <c r="N108" s="45"/>
      <c r="O108" s="45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38"/>
      <c r="B109" s="53"/>
      <c r="C109" s="53"/>
      <c r="D109" s="40" t="s">
        <v>144</v>
      </c>
      <c r="E109" s="43"/>
      <c r="F109" s="44"/>
      <c r="G109" s="43">
        <v>2.0</v>
      </c>
      <c r="H109" s="43">
        <v>2.0</v>
      </c>
      <c r="I109" s="45">
        <v>4.0</v>
      </c>
      <c r="J109" s="50">
        <v>4.0</v>
      </c>
      <c r="K109" s="50">
        <v>4.0</v>
      </c>
      <c r="L109" s="50">
        <v>4.0</v>
      </c>
      <c r="M109" s="45">
        <v>4.0</v>
      </c>
      <c r="N109" s="45"/>
      <c r="O109" s="45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38"/>
      <c r="B110" s="53"/>
      <c r="C110" s="29"/>
      <c r="D110" s="40" t="s">
        <v>145</v>
      </c>
      <c r="E110" s="43"/>
      <c r="F110" s="44"/>
      <c r="G110" s="43">
        <v>2.0</v>
      </c>
      <c r="H110" s="43">
        <v>2.0</v>
      </c>
      <c r="I110" s="45">
        <v>5.0</v>
      </c>
      <c r="J110" s="50">
        <v>4.0</v>
      </c>
      <c r="K110" s="50">
        <v>4.0</v>
      </c>
      <c r="L110" s="50">
        <v>4.0</v>
      </c>
      <c r="M110" s="45">
        <v>5.0</v>
      </c>
      <c r="N110" s="45"/>
      <c r="O110" s="45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38"/>
      <c r="B111" s="53"/>
      <c r="C111" s="65" t="s">
        <v>146</v>
      </c>
      <c r="D111" s="40" t="s">
        <v>147</v>
      </c>
      <c r="E111" s="43"/>
      <c r="F111" s="44"/>
      <c r="G111" s="43">
        <v>1.0</v>
      </c>
      <c r="H111" s="43">
        <v>1.0</v>
      </c>
      <c r="I111" s="45">
        <v>4.0</v>
      </c>
      <c r="J111" s="50">
        <v>3.0</v>
      </c>
      <c r="K111" s="50">
        <v>3.0</v>
      </c>
      <c r="L111" s="50">
        <v>3.0</v>
      </c>
      <c r="M111" s="45">
        <v>4.0</v>
      </c>
      <c r="N111" s="45"/>
      <c r="O111" s="45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38"/>
      <c r="B112" s="53"/>
      <c r="C112" s="29"/>
      <c r="D112" s="40" t="s">
        <v>148</v>
      </c>
      <c r="E112" s="43"/>
      <c r="F112" s="44"/>
      <c r="G112" s="43">
        <v>1.0</v>
      </c>
      <c r="H112" s="43">
        <v>1.0</v>
      </c>
      <c r="I112" s="45">
        <v>4.0</v>
      </c>
      <c r="J112" s="50">
        <v>3.0</v>
      </c>
      <c r="K112" s="50">
        <v>3.0</v>
      </c>
      <c r="L112" s="50">
        <v>3.0</v>
      </c>
      <c r="M112" s="45">
        <v>4.0</v>
      </c>
      <c r="N112" s="45"/>
      <c r="O112" s="45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customHeight="1">
      <c r="A113" s="38"/>
      <c r="B113" s="29"/>
      <c r="C113" s="67" t="s">
        <v>149</v>
      </c>
      <c r="D113" s="40" t="s">
        <v>150</v>
      </c>
      <c r="E113" s="43"/>
      <c r="F113" s="44"/>
      <c r="G113" s="43">
        <v>2.0</v>
      </c>
      <c r="H113" s="43">
        <v>2.0</v>
      </c>
      <c r="I113" s="45">
        <v>5.0</v>
      </c>
      <c r="J113" s="50">
        <v>7.0</v>
      </c>
      <c r="K113" s="50">
        <v>7.0</v>
      </c>
      <c r="L113" s="50">
        <v>7.0</v>
      </c>
      <c r="M113" s="45">
        <v>5.0</v>
      </c>
      <c r="N113" s="45"/>
      <c r="O113" s="45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customHeight="1">
      <c r="A114" s="38"/>
      <c r="B114" s="60" t="s">
        <v>151</v>
      </c>
      <c r="C114" s="65" t="s">
        <v>152</v>
      </c>
      <c r="D114" s="40" t="s">
        <v>153</v>
      </c>
      <c r="E114" s="43"/>
      <c r="F114" s="44"/>
      <c r="G114" s="43">
        <v>3.0</v>
      </c>
      <c r="H114" s="43">
        <v>3.0</v>
      </c>
      <c r="I114" s="45">
        <v>6.0</v>
      </c>
      <c r="J114" s="50">
        <v>6.0</v>
      </c>
      <c r="K114" s="50">
        <v>6.0</v>
      </c>
      <c r="L114" s="50">
        <v>6.0</v>
      </c>
      <c r="M114" s="45">
        <v>6.0</v>
      </c>
      <c r="N114" s="45"/>
      <c r="O114" s="45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customHeight="1">
      <c r="A115" s="38"/>
      <c r="B115" s="53"/>
      <c r="C115" s="53"/>
      <c r="D115" s="40" t="s">
        <v>154</v>
      </c>
      <c r="E115" s="43"/>
      <c r="F115" s="44"/>
      <c r="G115" s="43">
        <v>3.0</v>
      </c>
      <c r="H115" s="43">
        <v>3.0</v>
      </c>
      <c r="I115" s="45">
        <v>4.0</v>
      </c>
      <c r="J115" s="50">
        <v>4.0</v>
      </c>
      <c r="K115" s="50">
        <v>4.0</v>
      </c>
      <c r="L115" s="50">
        <v>4.0</v>
      </c>
      <c r="M115" s="45">
        <v>4.0</v>
      </c>
      <c r="N115" s="45"/>
      <c r="O115" s="45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38"/>
      <c r="B116" s="53"/>
      <c r="C116" s="29"/>
      <c r="D116" s="40" t="s">
        <v>155</v>
      </c>
      <c r="E116" s="43"/>
      <c r="F116" s="44"/>
      <c r="G116" s="43">
        <v>3.0</v>
      </c>
      <c r="H116" s="43">
        <v>3.0</v>
      </c>
      <c r="I116" s="45">
        <v>5.0</v>
      </c>
      <c r="J116" s="50">
        <v>5.0</v>
      </c>
      <c r="K116" s="50">
        <v>5.0</v>
      </c>
      <c r="L116" s="50">
        <v>5.0</v>
      </c>
      <c r="M116" s="45">
        <v>5.0</v>
      </c>
      <c r="N116" s="45"/>
      <c r="O116" s="45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.75" customHeight="1">
      <c r="A117" s="38"/>
      <c r="B117" s="53"/>
      <c r="C117" s="65" t="s">
        <v>156</v>
      </c>
      <c r="D117" s="40" t="s">
        <v>157</v>
      </c>
      <c r="E117" s="43"/>
      <c r="F117" s="44"/>
      <c r="G117" s="43">
        <v>3.0</v>
      </c>
      <c r="H117" s="43">
        <v>3.0</v>
      </c>
      <c r="I117" s="45">
        <v>10.0</v>
      </c>
      <c r="J117" s="50">
        <v>6.0</v>
      </c>
      <c r="K117" s="50">
        <v>6.0</v>
      </c>
      <c r="L117" s="50">
        <v>6.0</v>
      </c>
      <c r="M117" s="45">
        <v>10.0</v>
      </c>
      <c r="N117" s="45"/>
      <c r="O117" s="45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customHeight="1">
      <c r="A118" s="38"/>
      <c r="B118" s="53"/>
      <c r="C118" s="53"/>
      <c r="D118" s="40" t="s">
        <v>158</v>
      </c>
      <c r="E118" s="43"/>
      <c r="F118" s="44"/>
      <c r="G118" s="43">
        <v>3.0</v>
      </c>
      <c r="H118" s="43">
        <v>3.0</v>
      </c>
      <c r="I118" s="45">
        <v>3.0</v>
      </c>
      <c r="J118" s="50">
        <v>2.0</v>
      </c>
      <c r="K118" s="50">
        <v>2.0</v>
      </c>
      <c r="L118" s="50">
        <v>2.0</v>
      </c>
      <c r="M118" s="45">
        <v>3.0</v>
      </c>
      <c r="N118" s="45"/>
      <c r="O118" s="45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customHeight="1">
      <c r="A119" s="38"/>
      <c r="B119" s="53"/>
      <c r="C119" s="29"/>
      <c r="D119" s="40" t="s">
        <v>159</v>
      </c>
      <c r="E119" s="43"/>
      <c r="F119" s="44"/>
      <c r="G119" s="43">
        <v>3.0</v>
      </c>
      <c r="H119" s="43">
        <v>3.0</v>
      </c>
      <c r="I119" s="45">
        <v>3.0</v>
      </c>
      <c r="J119" s="50">
        <v>2.0</v>
      </c>
      <c r="K119" s="50">
        <v>2.0</v>
      </c>
      <c r="L119" s="50">
        <v>2.0</v>
      </c>
      <c r="M119" s="45">
        <v>3.0</v>
      </c>
      <c r="N119" s="45"/>
      <c r="O119" s="45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customHeight="1">
      <c r="A120" s="38"/>
      <c r="B120" s="53"/>
      <c r="C120" s="65" t="s">
        <v>160</v>
      </c>
      <c r="D120" s="40" t="s">
        <v>161</v>
      </c>
      <c r="E120" s="43"/>
      <c r="F120" s="44"/>
      <c r="G120" s="43">
        <v>3.0</v>
      </c>
      <c r="H120" s="43">
        <v>3.0</v>
      </c>
      <c r="I120" s="45">
        <v>4.0</v>
      </c>
      <c r="J120" s="50">
        <v>4.0</v>
      </c>
      <c r="K120" s="50">
        <v>4.0</v>
      </c>
      <c r="L120" s="50">
        <v>4.0</v>
      </c>
      <c r="M120" s="45">
        <v>4.0</v>
      </c>
      <c r="N120" s="45"/>
      <c r="O120" s="45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customHeight="1">
      <c r="A121" s="38"/>
      <c r="B121" s="53"/>
      <c r="C121" s="53"/>
      <c r="D121" s="40" t="s">
        <v>162</v>
      </c>
      <c r="E121" s="43"/>
      <c r="F121" s="44"/>
      <c r="G121" s="43">
        <v>3.0</v>
      </c>
      <c r="H121" s="43">
        <v>3.0</v>
      </c>
      <c r="I121" s="45">
        <v>4.0</v>
      </c>
      <c r="J121" s="50">
        <v>4.0</v>
      </c>
      <c r="K121" s="50">
        <v>4.0</v>
      </c>
      <c r="L121" s="50">
        <v>4.0</v>
      </c>
      <c r="M121" s="45">
        <v>4.0</v>
      </c>
      <c r="N121" s="45"/>
      <c r="O121" s="45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customHeight="1">
      <c r="A122" s="38"/>
      <c r="B122" s="29"/>
      <c r="C122" s="29"/>
      <c r="D122" s="40" t="s">
        <v>163</v>
      </c>
      <c r="E122" s="43"/>
      <c r="F122" s="44"/>
      <c r="G122" s="43">
        <v>3.0</v>
      </c>
      <c r="H122" s="43">
        <v>3.0</v>
      </c>
      <c r="I122" s="45">
        <v>4.0</v>
      </c>
      <c r="J122" s="50">
        <v>4.0</v>
      </c>
      <c r="K122" s="50">
        <v>4.0</v>
      </c>
      <c r="L122" s="50">
        <v>4.0</v>
      </c>
      <c r="M122" s="45">
        <v>4.0</v>
      </c>
      <c r="N122" s="45"/>
      <c r="O122" s="45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customHeight="1">
      <c r="A123" s="38"/>
      <c r="B123" s="60" t="s">
        <v>164</v>
      </c>
      <c r="C123" s="65" t="s">
        <v>165</v>
      </c>
      <c r="D123" s="40" t="s">
        <v>166</v>
      </c>
      <c r="E123" s="43"/>
      <c r="F123" s="44"/>
      <c r="G123" s="43">
        <v>3.0</v>
      </c>
      <c r="H123" s="43">
        <v>3.0</v>
      </c>
      <c r="I123" s="45">
        <v>6.0</v>
      </c>
      <c r="J123" s="50">
        <v>10.0</v>
      </c>
      <c r="K123" s="50">
        <v>10.0</v>
      </c>
      <c r="L123" s="50">
        <v>10.0</v>
      </c>
      <c r="M123" s="45">
        <v>6.0</v>
      </c>
      <c r="N123" s="45"/>
      <c r="O123" s="45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customHeight="1">
      <c r="A124" s="38"/>
      <c r="B124" s="53"/>
      <c r="C124" s="53"/>
      <c r="D124" s="40" t="s">
        <v>167</v>
      </c>
      <c r="E124" s="43"/>
      <c r="F124" s="44"/>
      <c r="G124" s="43">
        <v>3.0</v>
      </c>
      <c r="H124" s="43">
        <v>3.0</v>
      </c>
      <c r="I124" s="45">
        <v>4.0</v>
      </c>
      <c r="J124" s="50">
        <v>6.0</v>
      </c>
      <c r="K124" s="50">
        <v>6.0</v>
      </c>
      <c r="L124" s="50">
        <v>6.0</v>
      </c>
      <c r="M124" s="45">
        <v>4.0</v>
      </c>
      <c r="N124" s="45"/>
      <c r="O124" s="45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38"/>
      <c r="B125" s="53"/>
      <c r="C125" s="29"/>
      <c r="D125" s="40" t="s">
        <v>168</v>
      </c>
      <c r="E125" s="43"/>
      <c r="F125" s="44"/>
      <c r="G125" s="43">
        <v>3.0</v>
      </c>
      <c r="H125" s="43">
        <v>3.0</v>
      </c>
      <c r="I125" s="45">
        <v>4.0</v>
      </c>
      <c r="J125" s="50">
        <v>6.0</v>
      </c>
      <c r="K125" s="50">
        <v>6.0</v>
      </c>
      <c r="L125" s="50">
        <v>6.0</v>
      </c>
      <c r="M125" s="45">
        <v>4.0</v>
      </c>
      <c r="N125" s="45"/>
      <c r="O125" s="45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.75" customHeight="1">
      <c r="A126" s="38"/>
      <c r="B126" s="53"/>
      <c r="C126" s="65" t="s">
        <v>169</v>
      </c>
      <c r="D126" s="40" t="s">
        <v>170</v>
      </c>
      <c r="E126" s="43"/>
      <c r="F126" s="44"/>
      <c r="G126" s="43">
        <v>3.0</v>
      </c>
      <c r="H126" s="43">
        <v>3.0</v>
      </c>
      <c r="I126" s="45">
        <v>10.0</v>
      </c>
      <c r="J126" s="50">
        <v>10.0</v>
      </c>
      <c r="K126" s="50">
        <v>10.0</v>
      </c>
      <c r="L126" s="50">
        <v>10.0</v>
      </c>
      <c r="M126" s="45">
        <v>10.0</v>
      </c>
      <c r="N126" s="45"/>
      <c r="O126" s="45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.75" customHeight="1">
      <c r="A127" s="38"/>
      <c r="B127" s="53"/>
      <c r="C127" s="53"/>
      <c r="D127" s="40" t="s">
        <v>171</v>
      </c>
      <c r="E127" s="43"/>
      <c r="F127" s="44"/>
      <c r="G127" s="43">
        <v>3.0</v>
      </c>
      <c r="H127" s="43">
        <v>3.0</v>
      </c>
      <c r="I127" s="45">
        <v>6.0</v>
      </c>
      <c r="J127" s="50">
        <v>10.0</v>
      </c>
      <c r="K127" s="50">
        <v>10.0</v>
      </c>
      <c r="L127" s="50">
        <v>10.0</v>
      </c>
      <c r="M127" s="45">
        <v>6.0</v>
      </c>
      <c r="N127" s="45"/>
      <c r="O127" s="45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customHeight="1">
      <c r="A128" s="38"/>
      <c r="B128" s="53"/>
      <c r="C128" s="29"/>
      <c r="D128" s="40" t="s">
        <v>172</v>
      </c>
      <c r="E128" s="43"/>
      <c r="F128" s="44"/>
      <c r="G128" s="43">
        <v>3.0</v>
      </c>
      <c r="H128" s="43">
        <v>3.0</v>
      </c>
      <c r="I128" s="45">
        <v>4.0</v>
      </c>
      <c r="J128" s="50">
        <v>6.0</v>
      </c>
      <c r="K128" s="50">
        <v>6.0</v>
      </c>
      <c r="L128" s="50">
        <v>6.0</v>
      </c>
      <c r="M128" s="45">
        <v>4.0</v>
      </c>
      <c r="N128" s="45"/>
      <c r="O128" s="45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customHeight="1">
      <c r="A129" s="38"/>
      <c r="B129" s="53"/>
      <c r="C129" s="65" t="s">
        <v>173</v>
      </c>
      <c r="D129" s="40" t="s">
        <v>174</v>
      </c>
      <c r="E129" s="43"/>
      <c r="F129" s="44"/>
      <c r="G129" s="43">
        <v>3.0</v>
      </c>
      <c r="H129" s="43">
        <v>3.0</v>
      </c>
      <c r="I129" s="45">
        <v>6.0</v>
      </c>
      <c r="J129" s="50">
        <v>10.0</v>
      </c>
      <c r="K129" s="50">
        <v>10.0</v>
      </c>
      <c r="L129" s="50">
        <v>10.0</v>
      </c>
      <c r="M129" s="45">
        <v>6.0</v>
      </c>
      <c r="N129" s="45"/>
      <c r="O129" s="45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customHeight="1">
      <c r="A130" s="38"/>
      <c r="B130" s="53"/>
      <c r="C130" s="53"/>
      <c r="D130" s="40" t="s">
        <v>175</v>
      </c>
      <c r="E130" s="43"/>
      <c r="F130" s="44"/>
      <c r="G130" s="43">
        <v>3.0</v>
      </c>
      <c r="H130" s="43">
        <v>3.0</v>
      </c>
      <c r="I130" s="45">
        <v>6.0</v>
      </c>
      <c r="J130" s="50">
        <v>10.0</v>
      </c>
      <c r="K130" s="50">
        <v>10.0</v>
      </c>
      <c r="L130" s="50">
        <v>10.0</v>
      </c>
      <c r="M130" s="45">
        <v>6.0</v>
      </c>
      <c r="N130" s="45"/>
      <c r="O130" s="45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customHeight="1">
      <c r="A131" s="38"/>
      <c r="B131" s="29"/>
      <c r="C131" s="29"/>
      <c r="D131" s="40" t="s">
        <v>176</v>
      </c>
      <c r="E131" s="43"/>
      <c r="F131" s="44"/>
      <c r="G131" s="43">
        <v>3.0</v>
      </c>
      <c r="H131" s="43">
        <v>3.0</v>
      </c>
      <c r="I131" s="45">
        <v>6.0</v>
      </c>
      <c r="J131" s="50">
        <v>10.0</v>
      </c>
      <c r="K131" s="50">
        <v>10.0</v>
      </c>
      <c r="L131" s="50">
        <v>10.0</v>
      </c>
      <c r="M131" s="45">
        <v>6.0</v>
      </c>
      <c r="N131" s="45"/>
      <c r="O131" s="45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customHeight="1">
      <c r="A132" s="38"/>
      <c r="B132" s="68"/>
      <c r="C132" s="67"/>
      <c r="D132" s="40"/>
      <c r="E132" s="43"/>
      <c r="F132" s="44"/>
      <c r="G132" s="43"/>
      <c r="H132" s="45"/>
      <c r="I132" s="45"/>
      <c r="J132" s="45"/>
      <c r="K132" s="45"/>
      <c r="L132" s="50"/>
      <c r="M132" s="45"/>
      <c r="N132" s="45"/>
      <c r="O132" s="45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customHeight="1">
      <c r="A133" s="32"/>
      <c r="B133" s="69" t="s">
        <v>177</v>
      </c>
      <c r="C133" s="70"/>
      <c r="D133" s="70"/>
      <c r="E133" s="71"/>
      <c r="F133" s="72"/>
      <c r="G133" s="73">
        <f t="shared" ref="G133:N133" si="2">SUM(G16:G131)</f>
        <v>245</v>
      </c>
      <c r="H133" s="73">
        <f t="shared" si="2"/>
        <v>245</v>
      </c>
      <c r="I133" s="73">
        <f t="shared" si="2"/>
        <v>526</v>
      </c>
      <c r="J133" s="73">
        <f t="shared" si="2"/>
        <v>581</v>
      </c>
      <c r="K133" s="73">
        <f t="shared" si="2"/>
        <v>581</v>
      </c>
      <c r="L133" s="73">
        <f t="shared" si="2"/>
        <v>580</v>
      </c>
      <c r="M133" s="73">
        <f t="shared" si="2"/>
        <v>513</v>
      </c>
      <c r="N133" s="73">
        <f t="shared" si="2"/>
        <v>0</v>
      </c>
      <c r="O133" s="73">
        <f t="shared" ref="O133:O135" si="3">SUM(G133:N133)</f>
        <v>3271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customHeight="1">
      <c r="A134" s="74"/>
      <c r="B134" s="75" t="s">
        <v>178</v>
      </c>
      <c r="C134" s="76" t="s">
        <v>179</v>
      </c>
      <c r="D134" s="40" t="s">
        <v>179</v>
      </c>
      <c r="E134" s="43"/>
      <c r="F134" s="44"/>
      <c r="G134" s="43">
        <v>10.0</v>
      </c>
      <c r="H134" s="43">
        <v>0.0</v>
      </c>
      <c r="I134" s="45">
        <v>2.0</v>
      </c>
      <c r="J134" s="45">
        <v>0.0</v>
      </c>
      <c r="K134" s="45">
        <v>0.0</v>
      </c>
      <c r="L134" s="45">
        <v>2.0</v>
      </c>
      <c r="M134" s="43">
        <v>0.0</v>
      </c>
      <c r="N134" s="43">
        <v>9.0</v>
      </c>
      <c r="O134" s="43">
        <f t="shared" si="3"/>
        <v>23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customHeight="1">
      <c r="A135" s="74"/>
      <c r="B135" s="75" t="s">
        <v>180</v>
      </c>
      <c r="C135" s="76" t="s">
        <v>181</v>
      </c>
      <c r="D135" s="40" t="s">
        <v>181</v>
      </c>
      <c r="E135" s="43"/>
      <c r="F135" s="44"/>
      <c r="G135" s="43">
        <v>12.0</v>
      </c>
      <c r="H135" s="43">
        <v>0.0</v>
      </c>
      <c r="I135" s="43">
        <v>18.0</v>
      </c>
      <c r="J135" s="43">
        <v>18.0</v>
      </c>
      <c r="K135" s="43">
        <v>18.0</v>
      </c>
      <c r="L135" s="43">
        <v>18.0</v>
      </c>
      <c r="M135" s="43">
        <v>10.0</v>
      </c>
      <c r="N135" s="43">
        <v>8.0</v>
      </c>
      <c r="O135" s="43">
        <f t="shared" si="3"/>
        <v>102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customHeight="1">
      <c r="A136" s="21"/>
      <c r="B136" s="77"/>
      <c r="C136" s="78"/>
      <c r="D136" s="79" t="s">
        <v>182</v>
      </c>
      <c r="E136" s="80"/>
      <c r="F136" s="81"/>
      <c r="G136" s="82">
        <f t="shared" ref="G136:O136" si="4">SUM(G133:G135)</f>
        <v>267</v>
      </c>
      <c r="H136" s="82">
        <f t="shared" si="4"/>
        <v>245</v>
      </c>
      <c r="I136" s="82">
        <f t="shared" si="4"/>
        <v>546</v>
      </c>
      <c r="J136" s="82">
        <f t="shared" si="4"/>
        <v>599</v>
      </c>
      <c r="K136" s="82">
        <f t="shared" si="4"/>
        <v>599</v>
      </c>
      <c r="L136" s="82">
        <f t="shared" si="4"/>
        <v>600</v>
      </c>
      <c r="M136" s="82">
        <f t="shared" si="4"/>
        <v>523</v>
      </c>
      <c r="N136" s="82">
        <f t="shared" si="4"/>
        <v>17</v>
      </c>
      <c r="O136" s="82">
        <f t="shared" si="4"/>
        <v>3396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customHeight="1">
      <c r="A137" s="83"/>
      <c r="B137" s="77"/>
      <c r="C137" s="78"/>
      <c r="D137" s="79" t="s">
        <v>183</v>
      </c>
      <c r="E137" s="84"/>
      <c r="F137" s="85"/>
      <c r="G137" s="86">
        <f t="shared" ref="G137:O137" si="5">G136/(22*8)</f>
        <v>1.517045455</v>
      </c>
      <c r="H137" s="87">
        <f t="shared" si="5"/>
        <v>1.392045455</v>
      </c>
      <c r="I137" s="87">
        <f t="shared" si="5"/>
        <v>3.102272727</v>
      </c>
      <c r="J137" s="87">
        <f t="shared" si="5"/>
        <v>3.403409091</v>
      </c>
      <c r="K137" s="87">
        <f t="shared" si="5"/>
        <v>3.403409091</v>
      </c>
      <c r="L137" s="87">
        <f t="shared" si="5"/>
        <v>3.409090909</v>
      </c>
      <c r="M137" s="87">
        <f t="shared" si="5"/>
        <v>2.971590909</v>
      </c>
      <c r="N137" s="87">
        <f t="shared" si="5"/>
        <v>0.09659090909</v>
      </c>
      <c r="O137" s="87">
        <f t="shared" si="5"/>
        <v>19.29545455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4"/>
      <c r="B138" s="4"/>
      <c r="C138" s="3"/>
      <c r="D138" s="3"/>
      <c r="E138" s="4"/>
      <c r="F138" s="5"/>
      <c r="G138" s="4"/>
      <c r="H138" s="88"/>
      <c r="I138" s="88"/>
      <c r="J138" s="88"/>
      <c r="K138" s="88"/>
      <c r="L138" s="88"/>
      <c r="M138" s="88"/>
      <c r="N138" s="88"/>
      <c r="O138" s="8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.75" customHeight="1">
      <c r="A139" s="6"/>
      <c r="B139" s="6"/>
      <c r="C139" s="3"/>
      <c r="D139" s="3"/>
      <c r="E139" s="6"/>
      <c r="F139" s="89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customHeight="1">
      <c r="A140" s="6"/>
      <c r="B140" s="6"/>
      <c r="C140" s="3"/>
      <c r="D140" s="3"/>
      <c r="E140" s="6"/>
      <c r="F140" s="89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customHeight="1">
      <c r="A141" s="6"/>
      <c r="B141" s="6"/>
      <c r="C141" s="3"/>
      <c r="D141" s="3"/>
      <c r="E141" s="6"/>
      <c r="F141" s="89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customHeight="1">
      <c r="A142" s="6"/>
      <c r="B142" s="6"/>
      <c r="C142" s="3"/>
      <c r="D142" s="3"/>
      <c r="E142" s="6"/>
      <c r="F142" s="89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customHeight="1">
      <c r="A143" s="6"/>
      <c r="B143" s="6"/>
      <c r="C143" s="3"/>
      <c r="D143" s="3"/>
      <c r="E143" s="6"/>
      <c r="F143" s="89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6"/>
      <c r="B144" s="6"/>
      <c r="C144" s="3"/>
      <c r="D144" s="3"/>
      <c r="E144" s="6"/>
      <c r="F144" s="89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.75" customHeight="1">
      <c r="A145" s="6"/>
      <c r="B145" s="6"/>
      <c r="C145" s="3"/>
      <c r="D145" s="3"/>
      <c r="E145" s="6"/>
      <c r="F145" s="89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customHeight="1">
      <c r="A146" s="6"/>
      <c r="B146" s="6"/>
      <c r="C146" s="3"/>
      <c r="D146" s="3"/>
      <c r="E146" s="6"/>
      <c r="F146" s="89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customHeight="1">
      <c r="A147" s="6"/>
      <c r="B147" s="6"/>
      <c r="C147" s="3"/>
      <c r="D147" s="3"/>
      <c r="E147" s="6"/>
      <c r="F147" s="89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customHeight="1">
      <c r="A148" s="6"/>
      <c r="B148" s="6"/>
      <c r="C148" s="3"/>
      <c r="D148" s="3"/>
      <c r="E148" s="6"/>
      <c r="F148" s="89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customHeight="1">
      <c r="A149" s="6"/>
      <c r="B149" s="6"/>
      <c r="C149" s="3"/>
      <c r="D149" s="3"/>
      <c r="E149" s="6"/>
      <c r="F149" s="89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customHeight="1">
      <c r="A150" s="6"/>
      <c r="B150" s="6"/>
      <c r="C150" s="3"/>
      <c r="D150" s="3"/>
      <c r="E150" s="6"/>
      <c r="F150" s="89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customHeight="1">
      <c r="A151" s="6"/>
      <c r="B151" s="6"/>
      <c r="C151" s="3"/>
      <c r="D151" s="3"/>
      <c r="E151" s="6"/>
      <c r="F151" s="89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customHeight="1">
      <c r="A152" s="6"/>
      <c r="B152" s="6"/>
      <c r="C152" s="3"/>
      <c r="D152" s="3"/>
      <c r="E152" s="6"/>
      <c r="F152" s="89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customHeight="1">
      <c r="A153" s="6"/>
      <c r="B153" s="6"/>
      <c r="C153" s="3"/>
      <c r="D153" s="3"/>
      <c r="E153" s="6"/>
      <c r="F153" s="89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customHeight="1">
      <c r="A154" s="6"/>
      <c r="B154" s="6"/>
      <c r="C154" s="3"/>
      <c r="D154" s="3"/>
      <c r="E154" s="6"/>
      <c r="F154" s="89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customHeight="1">
      <c r="A155" s="6"/>
      <c r="B155" s="6"/>
      <c r="C155" s="3"/>
      <c r="D155" s="3"/>
      <c r="E155" s="6"/>
      <c r="F155" s="89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customHeight="1">
      <c r="A156" s="6"/>
      <c r="B156" s="6"/>
      <c r="C156" s="3"/>
      <c r="D156" s="3"/>
      <c r="E156" s="6"/>
      <c r="F156" s="89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customHeight="1">
      <c r="A157" s="6"/>
      <c r="B157" s="6"/>
      <c r="C157" s="3"/>
      <c r="D157" s="3"/>
      <c r="E157" s="6"/>
      <c r="F157" s="89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customHeight="1">
      <c r="A158" s="6"/>
      <c r="B158" s="6"/>
      <c r="C158" s="3"/>
      <c r="D158" s="3"/>
      <c r="E158" s="6"/>
      <c r="F158" s="89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customHeight="1">
      <c r="A159" s="6"/>
      <c r="B159" s="6"/>
      <c r="C159" s="3"/>
      <c r="D159" s="3"/>
      <c r="E159" s="6"/>
      <c r="F159" s="89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customHeight="1">
      <c r="A160" s="6"/>
      <c r="B160" s="6"/>
      <c r="C160" s="3"/>
      <c r="D160" s="3"/>
      <c r="E160" s="6"/>
      <c r="F160" s="89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customHeight="1">
      <c r="A161" s="6"/>
      <c r="B161" s="6"/>
      <c r="C161" s="3"/>
      <c r="D161" s="3"/>
      <c r="E161" s="6"/>
      <c r="F161" s="89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customHeight="1">
      <c r="A162" s="6"/>
      <c r="B162" s="6"/>
      <c r="C162" s="3"/>
      <c r="D162" s="3"/>
      <c r="E162" s="6"/>
      <c r="F162" s="89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customHeight="1">
      <c r="A163" s="6"/>
      <c r="B163" s="6"/>
      <c r="C163" s="3"/>
      <c r="D163" s="3"/>
      <c r="E163" s="6"/>
      <c r="F163" s="89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customHeight="1">
      <c r="A164" s="6"/>
      <c r="B164" s="6"/>
      <c r="C164" s="3"/>
      <c r="D164" s="3"/>
      <c r="E164" s="6"/>
      <c r="F164" s="89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customHeight="1">
      <c r="A165" s="6"/>
      <c r="B165" s="6"/>
      <c r="C165" s="3"/>
      <c r="D165" s="3"/>
      <c r="E165" s="6"/>
      <c r="F165" s="89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customHeight="1">
      <c r="A166" s="6"/>
      <c r="B166" s="6"/>
      <c r="C166" s="3"/>
      <c r="D166" s="3"/>
      <c r="E166" s="6"/>
      <c r="F166" s="89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customHeight="1">
      <c r="A167" s="6"/>
      <c r="B167" s="6"/>
      <c r="C167" s="3"/>
      <c r="D167" s="3"/>
      <c r="E167" s="6"/>
      <c r="F167" s="89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customHeight="1">
      <c r="A168" s="6"/>
      <c r="B168" s="6"/>
      <c r="C168" s="3"/>
      <c r="D168" s="3"/>
      <c r="E168" s="6"/>
      <c r="F168" s="89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customHeight="1">
      <c r="A169" s="6"/>
      <c r="B169" s="6"/>
      <c r="C169" s="3"/>
      <c r="D169" s="3"/>
      <c r="E169" s="6"/>
      <c r="F169" s="89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customHeight="1">
      <c r="A170" s="6"/>
      <c r="B170" s="6"/>
      <c r="C170" s="3"/>
      <c r="D170" s="3"/>
      <c r="E170" s="6"/>
      <c r="F170" s="89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customHeight="1">
      <c r="A171" s="6"/>
      <c r="B171" s="6"/>
      <c r="C171" s="3"/>
      <c r="D171" s="3"/>
      <c r="E171" s="6"/>
      <c r="F171" s="89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customHeight="1">
      <c r="A172" s="6"/>
      <c r="B172" s="6"/>
      <c r="C172" s="3"/>
      <c r="D172" s="3"/>
      <c r="E172" s="6"/>
      <c r="F172" s="89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6"/>
      <c r="B173" s="6"/>
      <c r="C173" s="3"/>
      <c r="D173" s="3"/>
      <c r="E173" s="6"/>
      <c r="F173" s="89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6"/>
      <c r="B174" s="6"/>
      <c r="C174" s="3"/>
      <c r="D174" s="3"/>
      <c r="E174" s="6"/>
      <c r="F174" s="89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6"/>
      <c r="B175" s="6"/>
      <c r="C175" s="3"/>
      <c r="D175" s="3"/>
      <c r="E175" s="6"/>
      <c r="F175" s="89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customHeight="1">
      <c r="A176" s="6"/>
      <c r="B176" s="6"/>
      <c r="C176" s="3"/>
      <c r="D176" s="3"/>
      <c r="E176" s="6"/>
      <c r="F176" s="89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customHeight="1">
      <c r="A177" s="6"/>
      <c r="B177" s="6"/>
      <c r="C177" s="3"/>
      <c r="D177" s="3"/>
      <c r="E177" s="6"/>
      <c r="F177" s="89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customHeight="1">
      <c r="A178" s="6"/>
      <c r="B178" s="6"/>
      <c r="C178" s="3"/>
      <c r="D178" s="3"/>
      <c r="E178" s="6"/>
      <c r="F178" s="89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customHeight="1">
      <c r="A179" s="6"/>
      <c r="B179" s="6"/>
      <c r="C179" s="3"/>
      <c r="D179" s="3"/>
      <c r="E179" s="6"/>
      <c r="F179" s="89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customHeight="1">
      <c r="A180" s="6"/>
      <c r="B180" s="6"/>
      <c r="C180" s="3"/>
      <c r="D180" s="3"/>
      <c r="E180" s="6"/>
      <c r="F180" s="89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customHeight="1">
      <c r="A181" s="6"/>
      <c r="B181" s="6"/>
      <c r="C181" s="3"/>
      <c r="D181" s="3"/>
      <c r="E181" s="6"/>
      <c r="F181" s="89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customHeight="1">
      <c r="A182" s="6"/>
      <c r="B182" s="6"/>
      <c r="C182" s="3"/>
      <c r="D182" s="3"/>
      <c r="E182" s="6"/>
      <c r="F182" s="89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customHeight="1">
      <c r="A183" s="6"/>
      <c r="B183" s="6"/>
      <c r="C183" s="3"/>
      <c r="D183" s="3"/>
      <c r="E183" s="6"/>
      <c r="F183" s="89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customHeight="1">
      <c r="A184" s="6"/>
      <c r="B184" s="6"/>
      <c r="C184" s="3"/>
      <c r="D184" s="3"/>
      <c r="E184" s="6"/>
      <c r="F184" s="89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customHeight="1">
      <c r="A185" s="6"/>
      <c r="B185" s="6"/>
      <c r="C185" s="3"/>
      <c r="D185" s="3"/>
      <c r="E185" s="6"/>
      <c r="F185" s="89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customHeight="1">
      <c r="A186" s="6"/>
      <c r="B186" s="6"/>
      <c r="C186" s="3"/>
      <c r="D186" s="3"/>
      <c r="E186" s="6"/>
      <c r="F186" s="89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6"/>
      <c r="B187" s="6"/>
      <c r="C187" s="3"/>
      <c r="D187" s="3"/>
      <c r="E187" s="6"/>
      <c r="F187" s="89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.75" customHeight="1">
      <c r="A188" s="6"/>
      <c r="B188" s="6"/>
      <c r="C188" s="3"/>
      <c r="D188" s="3"/>
      <c r="E188" s="6"/>
      <c r="F188" s="89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customHeight="1">
      <c r="A189" s="6"/>
      <c r="B189" s="6"/>
      <c r="C189" s="3"/>
      <c r="D189" s="3"/>
      <c r="E189" s="6"/>
      <c r="F189" s="89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customHeight="1">
      <c r="A190" s="6"/>
      <c r="B190" s="6"/>
      <c r="C190" s="3"/>
      <c r="D190" s="3"/>
      <c r="E190" s="6"/>
      <c r="F190" s="89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customHeight="1">
      <c r="A191" s="6"/>
      <c r="B191" s="6"/>
      <c r="C191" s="3"/>
      <c r="D191" s="3"/>
      <c r="E191" s="6"/>
      <c r="F191" s="89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customHeight="1">
      <c r="A192" s="6"/>
      <c r="B192" s="6"/>
      <c r="C192" s="3"/>
      <c r="D192" s="3"/>
      <c r="E192" s="6"/>
      <c r="F192" s="89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6"/>
      <c r="B193" s="6"/>
      <c r="C193" s="3"/>
      <c r="D193" s="3"/>
      <c r="E193" s="6"/>
      <c r="F193" s="89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.75" customHeight="1">
      <c r="A194" s="6"/>
      <c r="B194" s="6"/>
      <c r="C194" s="3"/>
      <c r="D194" s="3"/>
      <c r="E194" s="6"/>
      <c r="F194" s="89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customHeight="1">
      <c r="A195" s="6"/>
      <c r="B195" s="6"/>
      <c r="C195" s="3"/>
      <c r="D195" s="3"/>
      <c r="E195" s="6"/>
      <c r="F195" s="89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customHeight="1">
      <c r="A196" s="6"/>
      <c r="B196" s="6"/>
      <c r="C196" s="3"/>
      <c r="D196" s="3"/>
      <c r="E196" s="6"/>
      <c r="F196" s="89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customHeight="1">
      <c r="A197" s="6"/>
      <c r="B197" s="6"/>
      <c r="C197" s="3"/>
      <c r="D197" s="3"/>
      <c r="E197" s="6"/>
      <c r="F197" s="89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customHeight="1">
      <c r="A198" s="6"/>
      <c r="B198" s="6"/>
      <c r="C198" s="3"/>
      <c r="D198" s="3"/>
      <c r="E198" s="6"/>
      <c r="F198" s="89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customHeight="1">
      <c r="A199" s="6"/>
      <c r="B199" s="6"/>
      <c r="C199" s="3"/>
      <c r="D199" s="3"/>
      <c r="E199" s="6"/>
      <c r="F199" s="89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customHeight="1">
      <c r="A200" s="6"/>
      <c r="B200" s="6"/>
      <c r="C200" s="3"/>
      <c r="D200" s="3"/>
      <c r="E200" s="6"/>
      <c r="F200" s="89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customHeight="1">
      <c r="A201" s="6"/>
      <c r="B201" s="6"/>
      <c r="C201" s="3"/>
      <c r="D201" s="3"/>
      <c r="E201" s="6"/>
      <c r="F201" s="89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customHeight="1">
      <c r="A202" s="6"/>
      <c r="B202" s="6"/>
      <c r="C202" s="3"/>
      <c r="D202" s="3"/>
      <c r="E202" s="6"/>
      <c r="F202" s="89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customHeight="1">
      <c r="A203" s="6"/>
      <c r="B203" s="6"/>
      <c r="C203" s="3"/>
      <c r="D203" s="3"/>
      <c r="E203" s="6"/>
      <c r="F203" s="89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customHeight="1">
      <c r="A204" s="6"/>
      <c r="B204" s="6"/>
      <c r="C204" s="3"/>
      <c r="D204" s="3"/>
      <c r="E204" s="6"/>
      <c r="F204" s="89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customHeight="1">
      <c r="A205" s="6"/>
      <c r="B205" s="6"/>
      <c r="C205" s="3"/>
      <c r="D205" s="3"/>
      <c r="E205" s="6"/>
      <c r="F205" s="89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customHeight="1">
      <c r="A206" s="6"/>
      <c r="B206" s="6"/>
      <c r="C206" s="3"/>
      <c r="D206" s="3"/>
      <c r="E206" s="6"/>
      <c r="F206" s="89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customHeight="1">
      <c r="A207" s="6"/>
      <c r="B207" s="6"/>
      <c r="C207" s="3"/>
      <c r="D207" s="3"/>
      <c r="E207" s="6"/>
      <c r="F207" s="89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customHeight="1">
      <c r="A208" s="6"/>
      <c r="B208" s="6"/>
      <c r="C208" s="3"/>
      <c r="D208" s="3"/>
      <c r="E208" s="6"/>
      <c r="F208" s="89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customHeight="1">
      <c r="A209" s="6"/>
      <c r="B209" s="6"/>
      <c r="C209" s="3"/>
      <c r="D209" s="3"/>
      <c r="E209" s="6"/>
      <c r="F209" s="89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customHeight="1">
      <c r="A210" s="6"/>
      <c r="B210" s="6"/>
      <c r="C210" s="3"/>
      <c r="D210" s="3"/>
      <c r="E210" s="6"/>
      <c r="F210" s="89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6"/>
      <c r="B211" s="6"/>
      <c r="C211" s="3"/>
      <c r="D211" s="3"/>
      <c r="E211" s="6"/>
      <c r="F211" s="89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6"/>
      <c r="B212" s="6"/>
      <c r="C212" s="3"/>
      <c r="D212" s="3"/>
      <c r="E212" s="6"/>
      <c r="F212" s="89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6"/>
      <c r="B213" s="6"/>
      <c r="C213" s="3"/>
      <c r="D213" s="3"/>
      <c r="E213" s="6"/>
      <c r="F213" s="89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6"/>
      <c r="B214" s="6"/>
      <c r="C214" s="3"/>
      <c r="D214" s="3"/>
      <c r="E214" s="6"/>
      <c r="F214" s="89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6"/>
      <c r="B215" s="6"/>
      <c r="C215" s="3"/>
      <c r="D215" s="3"/>
      <c r="E215" s="6"/>
      <c r="F215" s="89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6"/>
      <c r="B216" s="6"/>
      <c r="C216" s="3"/>
      <c r="D216" s="3"/>
      <c r="E216" s="6"/>
      <c r="F216" s="89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6"/>
      <c r="B217" s="6"/>
      <c r="C217" s="3"/>
      <c r="D217" s="3"/>
      <c r="E217" s="6"/>
      <c r="F217" s="89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6"/>
      <c r="B218" s="6"/>
      <c r="C218" s="3"/>
      <c r="D218" s="3"/>
      <c r="E218" s="6"/>
      <c r="F218" s="89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6"/>
      <c r="B219" s="6"/>
      <c r="C219" s="3"/>
      <c r="D219" s="3"/>
      <c r="E219" s="6"/>
      <c r="F219" s="89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6"/>
      <c r="B220" s="6"/>
      <c r="C220" s="3"/>
      <c r="D220" s="3"/>
      <c r="E220" s="6"/>
      <c r="F220" s="89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6"/>
      <c r="B221" s="6"/>
      <c r="C221" s="3"/>
      <c r="D221" s="3"/>
      <c r="E221" s="6"/>
      <c r="F221" s="89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6"/>
      <c r="B222" s="6"/>
      <c r="C222" s="3"/>
      <c r="D222" s="3"/>
      <c r="E222" s="6"/>
      <c r="F222" s="89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6"/>
      <c r="B223" s="6"/>
      <c r="C223" s="3"/>
      <c r="D223" s="3"/>
      <c r="E223" s="6"/>
      <c r="F223" s="89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6"/>
      <c r="B224" s="6"/>
      <c r="C224" s="3"/>
      <c r="D224" s="3"/>
      <c r="E224" s="6"/>
      <c r="F224" s="89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6"/>
      <c r="B225" s="6"/>
      <c r="C225" s="3"/>
      <c r="D225" s="3"/>
      <c r="E225" s="6"/>
      <c r="F225" s="89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6"/>
      <c r="B226" s="6"/>
      <c r="C226" s="3"/>
      <c r="D226" s="3"/>
      <c r="E226" s="6"/>
      <c r="F226" s="89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6"/>
      <c r="B227" s="6"/>
      <c r="C227" s="3"/>
      <c r="D227" s="3"/>
      <c r="E227" s="6"/>
      <c r="F227" s="89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6"/>
      <c r="B228" s="6"/>
      <c r="C228" s="3"/>
      <c r="D228" s="3"/>
      <c r="E228" s="6"/>
      <c r="F228" s="89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6"/>
      <c r="B229" s="6"/>
      <c r="C229" s="3"/>
      <c r="D229" s="3"/>
      <c r="E229" s="6"/>
      <c r="F229" s="89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6"/>
      <c r="B230" s="6"/>
      <c r="C230" s="3"/>
      <c r="D230" s="3"/>
      <c r="E230" s="6"/>
      <c r="F230" s="89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6"/>
      <c r="B231" s="6"/>
      <c r="C231" s="3"/>
      <c r="D231" s="3"/>
      <c r="E231" s="6"/>
      <c r="F231" s="89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>
      <c r="A232" s="6"/>
      <c r="B232" s="6"/>
      <c r="C232" s="3"/>
      <c r="D232" s="3"/>
      <c r="E232" s="6"/>
      <c r="F232" s="89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5.75" customHeight="1">
      <c r="A233" s="6"/>
      <c r="B233" s="6"/>
      <c r="C233" s="3"/>
      <c r="D233" s="3"/>
      <c r="E233" s="6"/>
      <c r="F233" s="89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5.75" customHeight="1">
      <c r="A234" s="6"/>
      <c r="B234" s="6"/>
      <c r="C234" s="3"/>
      <c r="D234" s="3"/>
      <c r="E234" s="6"/>
      <c r="F234" s="89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5.75" customHeight="1">
      <c r="A235" s="6"/>
      <c r="B235" s="6"/>
      <c r="C235" s="3"/>
      <c r="D235" s="3"/>
      <c r="E235" s="6"/>
      <c r="F235" s="89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5.75" customHeight="1">
      <c r="A236" s="6"/>
      <c r="B236" s="6"/>
      <c r="C236" s="3"/>
      <c r="D236" s="3"/>
      <c r="E236" s="6"/>
      <c r="F236" s="89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5.75" customHeight="1">
      <c r="A237" s="6"/>
      <c r="B237" s="6"/>
      <c r="C237" s="3"/>
      <c r="D237" s="3"/>
      <c r="E237" s="6"/>
      <c r="F237" s="89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5.75" customHeight="1">
      <c r="A238" s="6"/>
      <c r="B238" s="6"/>
      <c r="C238" s="3"/>
      <c r="D238" s="3"/>
      <c r="E238" s="6"/>
      <c r="F238" s="89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6"/>
      <c r="B239" s="6"/>
      <c r="C239" s="3"/>
      <c r="D239" s="3"/>
      <c r="E239" s="6"/>
      <c r="F239" s="89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6"/>
      <c r="B240" s="6"/>
      <c r="C240" s="3"/>
      <c r="D240" s="3"/>
      <c r="E240" s="6"/>
      <c r="F240" s="89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6"/>
      <c r="B241" s="6"/>
      <c r="C241" s="3"/>
      <c r="D241" s="3"/>
      <c r="E241" s="6"/>
      <c r="F241" s="89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6"/>
      <c r="B242" s="6"/>
      <c r="C242" s="3"/>
      <c r="D242" s="3"/>
      <c r="E242" s="6"/>
      <c r="F242" s="89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5.75" customHeight="1">
      <c r="A243" s="6"/>
      <c r="B243" s="6"/>
      <c r="C243" s="3"/>
      <c r="D243" s="3"/>
      <c r="E243" s="6"/>
      <c r="F243" s="89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5.75" customHeight="1">
      <c r="A244" s="6"/>
      <c r="B244" s="6"/>
      <c r="C244" s="3"/>
      <c r="D244" s="3"/>
      <c r="E244" s="6"/>
      <c r="F244" s="89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5.75" customHeight="1">
      <c r="A245" s="6"/>
      <c r="B245" s="6"/>
      <c r="C245" s="3"/>
      <c r="D245" s="3"/>
      <c r="E245" s="6"/>
      <c r="F245" s="89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5.75" customHeight="1">
      <c r="A246" s="6"/>
      <c r="B246" s="6"/>
      <c r="C246" s="3"/>
      <c r="D246" s="3"/>
      <c r="E246" s="6"/>
      <c r="F246" s="89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5.75" customHeight="1">
      <c r="A247" s="6"/>
      <c r="B247" s="6"/>
      <c r="C247" s="3"/>
      <c r="D247" s="3"/>
      <c r="E247" s="6"/>
      <c r="F247" s="89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5.75" customHeight="1">
      <c r="A248" s="6"/>
      <c r="B248" s="6"/>
      <c r="C248" s="3"/>
      <c r="D248" s="3"/>
      <c r="E248" s="6"/>
      <c r="F248" s="89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5.75" customHeight="1">
      <c r="A249" s="6"/>
      <c r="B249" s="6"/>
      <c r="C249" s="3"/>
      <c r="D249" s="3"/>
      <c r="E249" s="6"/>
      <c r="F249" s="89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6"/>
      <c r="B250" s="6"/>
      <c r="C250" s="3"/>
      <c r="D250" s="3"/>
      <c r="E250" s="6"/>
      <c r="F250" s="89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5.75" customHeight="1">
      <c r="A251" s="6"/>
      <c r="B251" s="6"/>
      <c r="C251" s="3"/>
      <c r="D251" s="3"/>
      <c r="E251" s="6"/>
      <c r="F251" s="89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6"/>
      <c r="B252" s="6"/>
      <c r="C252" s="3"/>
      <c r="D252" s="3"/>
      <c r="E252" s="6"/>
      <c r="F252" s="89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6"/>
      <c r="B253" s="6"/>
      <c r="C253" s="3"/>
      <c r="D253" s="3"/>
      <c r="E253" s="6"/>
      <c r="F253" s="89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6"/>
      <c r="B254" s="6"/>
      <c r="C254" s="3"/>
      <c r="D254" s="3"/>
      <c r="E254" s="6"/>
      <c r="F254" s="89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6"/>
      <c r="B255" s="6"/>
      <c r="C255" s="3"/>
      <c r="D255" s="3"/>
      <c r="E255" s="6"/>
      <c r="F255" s="89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6"/>
      <c r="B256" s="6"/>
      <c r="C256" s="3"/>
      <c r="D256" s="3"/>
      <c r="E256" s="6"/>
      <c r="F256" s="89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6"/>
      <c r="B257" s="6"/>
      <c r="C257" s="3"/>
      <c r="D257" s="3"/>
      <c r="E257" s="6"/>
      <c r="F257" s="89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6"/>
      <c r="B258" s="6"/>
      <c r="C258" s="3"/>
      <c r="D258" s="3"/>
      <c r="E258" s="6"/>
      <c r="F258" s="89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6"/>
      <c r="B259" s="6"/>
      <c r="C259" s="3"/>
      <c r="D259" s="3"/>
      <c r="E259" s="6"/>
      <c r="F259" s="89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6"/>
      <c r="B260" s="6"/>
      <c r="C260" s="3"/>
      <c r="D260" s="3"/>
      <c r="E260" s="6"/>
      <c r="F260" s="89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6"/>
      <c r="B261" s="6"/>
      <c r="C261" s="3"/>
      <c r="D261" s="3"/>
      <c r="E261" s="6"/>
      <c r="F261" s="89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6"/>
      <c r="B262" s="6"/>
      <c r="C262" s="3"/>
      <c r="D262" s="3"/>
      <c r="E262" s="6"/>
      <c r="F262" s="89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6"/>
      <c r="B263" s="6"/>
      <c r="C263" s="3"/>
      <c r="D263" s="3"/>
      <c r="E263" s="6"/>
      <c r="F263" s="89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6"/>
      <c r="B264" s="6"/>
      <c r="C264" s="3"/>
      <c r="D264" s="3"/>
      <c r="E264" s="6"/>
      <c r="F264" s="89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6"/>
      <c r="B265" s="6"/>
      <c r="C265" s="3"/>
      <c r="D265" s="3"/>
      <c r="E265" s="6"/>
      <c r="F265" s="89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6"/>
      <c r="B266" s="6"/>
      <c r="C266" s="3"/>
      <c r="D266" s="3"/>
      <c r="E266" s="6"/>
      <c r="F266" s="89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6"/>
      <c r="B267" s="6"/>
      <c r="C267" s="3"/>
      <c r="D267" s="3"/>
      <c r="E267" s="6"/>
      <c r="F267" s="89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6"/>
      <c r="B268" s="6"/>
      <c r="C268" s="3"/>
      <c r="D268" s="3"/>
      <c r="E268" s="6"/>
      <c r="F268" s="89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6"/>
      <c r="B269" s="6"/>
      <c r="C269" s="3"/>
      <c r="D269" s="3"/>
      <c r="E269" s="6"/>
      <c r="F269" s="89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6"/>
      <c r="B270" s="6"/>
      <c r="C270" s="3"/>
      <c r="D270" s="3"/>
      <c r="E270" s="6"/>
      <c r="F270" s="89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6"/>
      <c r="B271" s="6"/>
      <c r="C271" s="3"/>
      <c r="D271" s="3"/>
      <c r="E271" s="6"/>
      <c r="F271" s="89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6"/>
      <c r="B272" s="6"/>
      <c r="C272" s="3"/>
      <c r="D272" s="3"/>
      <c r="E272" s="6"/>
      <c r="F272" s="89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6"/>
      <c r="B273" s="6"/>
      <c r="C273" s="3"/>
      <c r="D273" s="3"/>
      <c r="E273" s="6"/>
      <c r="F273" s="89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6"/>
      <c r="B274" s="6"/>
      <c r="C274" s="3"/>
      <c r="D274" s="3"/>
      <c r="E274" s="6"/>
      <c r="F274" s="89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6"/>
      <c r="B275" s="6"/>
      <c r="C275" s="3"/>
      <c r="D275" s="3"/>
      <c r="E275" s="6"/>
      <c r="F275" s="89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6"/>
      <c r="B276" s="6"/>
      <c r="C276" s="3"/>
      <c r="D276" s="3"/>
      <c r="E276" s="6"/>
      <c r="F276" s="89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5.75" customHeight="1">
      <c r="A277" s="6"/>
      <c r="B277" s="6"/>
      <c r="C277" s="3"/>
      <c r="D277" s="3"/>
      <c r="E277" s="6"/>
      <c r="F277" s="89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5.75" customHeight="1">
      <c r="A278" s="6"/>
      <c r="B278" s="6"/>
      <c r="C278" s="3"/>
      <c r="D278" s="3"/>
      <c r="E278" s="6"/>
      <c r="F278" s="89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5.75" customHeight="1">
      <c r="A279" s="6"/>
      <c r="B279" s="6"/>
      <c r="C279" s="3"/>
      <c r="D279" s="3"/>
      <c r="E279" s="6"/>
      <c r="F279" s="89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5.75" customHeight="1">
      <c r="A280" s="6"/>
      <c r="B280" s="6"/>
      <c r="C280" s="3"/>
      <c r="D280" s="3"/>
      <c r="E280" s="6"/>
      <c r="F280" s="89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5.75" customHeight="1">
      <c r="A281" s="6"/>
      <c r="B281" s="6"/>
      <c r="C281" s="3"/>
      <c r="D281" s="3"/>
      <c r="E281" s="6"/>
      <c r="F281" s="89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5.75" customHeight="1">
      <c r="A282" s="6"/>
      <c r="B282" s="6"/>
      <c r="C282" s="3"/>
      <c r="D282" s="3"/>
      <c r="E282" s="6"/>
      <c r="F282" s="89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5.75" customHeight="1">
      <c r="A283" s="6"/>
      <c r="B283" s="6"/>
      <c r="C283" s="3"/>
      <c r="D283" s="3"/>
      <c r="E283" s="6"/>
      <c r="F283" s="89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5.75" customHeight="1">
      <c r="A284" s="6"/>
      <c r="B284" s="6"/>
      <c r="C284" s="3"/>
      <c r="D284" s="3"/>
      <c r="E284" s="6"/>
      <c r="F284" s="89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5.75" customHeight="1">
      <c r="A285" s="6"/>
      <c r="B285" s="6"/>
      <c r="C285" s="3"/>
      <c r="D285" s="3"/>
      <c r="E285" s="6"/>
      <c r="F285" s="89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5.75" customHeight="1">
      <c r="A286" s="6"/>
      <c r="B286" s="6"/>
      <c r="C286" s="3"/>
      <c r="D286" s="3"/>
      <c r="E286" s="6"/>
      <c r="F286" s="89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5.75" customHeight="1">
      <c r="A287" s="6"/>
      <c r="B287" s="6"/>
      <c r="C287" s="3"/>
      <c r="D287" s="3"/>
      <c r="E287" s="6"/>
      <c r="F287" s="89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5.75" customHeight="1">
      <c r="A288" s="6"/>
      <c r="B288" s="6"/>
      <c r="C288" s="3"/>
      <c r="D288" s="3"/>
      <c r="E288" s="6"/>
      <c r="F288" s="89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5.75" customHeight="1">
      <c r="A289" s="6"/>
      <c r="B289" s="6"/>
      <c r="C289" s="3"/>
      <c r="D289" s="3"/>
      <c r="E289" s="6"/>
      <c r="F289" s="89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5.75" customHeight="1">
      <c r="A290" s="6"/>
      <c r="B290" s="6"/>
      <c r="C290" s="3"/>
      <c r="D290" s="3"/>
      <c r="E290" s="6"/>
      <c r="F290" s="89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5.75" customHeight="1">
      <c r="A291" s="6"/>
      <c r="B291" s="6"/>
      <c r="C291" s="3"/>
      <c r="D291" s="3"/>
      <c r="E291" s="6"/>
      <c r="F291" s="89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5.75" customHeight="1">
      <c r="A292" s="6"/>
      <c r="B292" s="6"/>
      <c r="C292" s="3"/>
      <c r="D292" s="3"/>
      <c r="E292" s="6"/>
      <c r="F292" s="89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5.75" customHeight="1">
      <c r="A293" s="6"/>
      <c r="B293" s="6"/>
      <c r="C293" s="3"/>
      <c r="D293" s="3"/>
      <c r="E293" s="6"/>
      <c r="F293" s="89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5.75" customHeight="1">
      <c r="A294" s="6"/>
      <c r="B294" s="6"/>
      <c r="C294" s="3"/>
      <c r="D294" s="3"/>
      <c r="E294" s="6"/>
      <c r="F294" s="89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5.75" customHeight="1">
      <c r="A295" s="6"/>
      <c r="B295" s="6"/>
      <c r="C295" s="3"/>
      <c r="D295" s="3"/>
      <c r="E295" s="6"/>
      <c r="F295" s="89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5.75" customHeight="1">
      <c r="A296" s="6"/>
      <c r="B296" s="6"/>
      <c r="C296" s="3"/>
      <c r="D296" s="3"/>
      <c r="E296" s="6"/>
      <c r="F296" s="89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5.75" customHeight="1">
      <c r="A297" s="6"/>
      <c r="B297" s="6"/>
      <c r="C297" s="3"/>
      <c r="D297" s="3"/>
      <c r="E297" s="6"/>
      <c r="F297" s="89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5.75" customHeight="1">
      <c r="A298" s="6"/>
      <c r="B298" s="6"/>
      <c r="C298" s="3"/>
      <c r="D298" s="3"/>
      <c r="E298" s="6"/>
      <c r="F298" s="89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5.75" customHeight="1">
      <c r="A299" s="6"/>
      <c r="B299" s="6"/>
      <c r="C299" s="3"/>
      <c r="D299" s="3"/>
      <c r="E299" s="6"/>
      <c r="F299" s="89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5.75" customHeight="1">
      <c r="A300" s="6"/>
      <c r="B300" s="6"/>
      <c r="C300" s="3"/>
      <c r="D300" s="3"/>
      <c r="E300" s="6"/>
      <c r="F300" s="89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5.75" customHeight="1">
      <c r="A301" s="6"/>
      <c r="B301" s="6"/>
      <c r="C301" s="3"/>
      <c r="D301" s="3"/>
      <c r="E301" s="6"/>
      <c r="F301" s="89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5.75" customHeight="1">
      <c r="A302" s="6"/>
      <c r="B302" s="6"/>
      <c r="C302" s="3"/>
      <c r="D302" s="3"/>
      <c r="E302" s="6"/>
      <c r="F302" s="89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5.75" customHeight="1">
      <c r="A303" s="6"/>
      <c r="B303" s="6"/>
      <c r="C303" s="3"/>
      <c r="D303" s="3"/>
      <c r="E303" s="6"/>
      <c r="F303" s="89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5.75" customHeight="1">
      <c r="A304" s="6"/>
      <c r="B304" s="6"/>
      <c r="C304" s="3"/>
      <c r="D304" s="3"/>
      <c r="E304" s="6"/>
      <c r="F304" s="89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5.75" customHeight="1">
      <c r="A305" s="6"/>
      <c r="B305" s="6"/>
      <c r="C305" s="3"/>
      <c r="D305" s="3"/>
      <c r="E305" s="6"/>
      <c r="F305" s="89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5.75" customHeight="1">
      <c r="A306" s="6"/>
      <c r="B306" s="6"/>
      <c r="C306" s="3"/>
      <c r="D306" s="3"/>
      <c r="E306" s="6"/>
      <c r="F306" s="89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5.75" customHeight="1">
      <c r="A307" s="6"/>
      <c r="B307" s="6"/>
      <c r="C307" s="3"/>
      <c r="D307" s="3"/>
      <c r="E307" s="6"/>
      <c r="F307" s="89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5.75" customHeight="1">
      <c r="A308" s="6"/>
      <c r="B308" s="6"/>
      <c r="C308" s="3"/>
      <c r="D308" s="3"/>
      <c r="E308" s="6"/>
      <c r="F308" s="89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5.75" customHeight="1">
      <c r="A309" s="6"/>
      <c r="B309" s="6"/>
      <c r="C309" s="3"/>
      <c r="D309" s="3"/>
      <c r="E309" s="6"/>
      <c r="F309" s="89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5.75" customHeight="1">
      <c r="A310" s="6"/>
      <c r="B310" s="6"/>
      <c r="C310" s="3"/>
      <c r="D310" s="3"/>
      <c r="E310" s="6"/>
      <c r="F310" s="89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5.75" customHeight="1">
      <c r="A311" s="6"/>
      <c r="B311" s="6"/>
      <c r="C311" s="3"/>
      <c r="D311" s="3"/>
      <c r="E311" s="6"/>
      <c r="F311" s="89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5.75" customHeight="1">
      <c r="A312" s="6"/>
      <c r="B312" s="6"/>
      <c r="C312" s="3"/>
      <c r="D312" s="3"/>
      <c r="E312" s="6"/>
      <c r="F312" s="89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5.75" customHeight="1">
      <c r="A313" s="6"/>
      <c r="B313" s="6"/>
      <c r="C313" s="3"/>
      <c r="D313" s="3"/>
      <c r="E313" s="6"/>
      <c r="F313" s="89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5.75" customHeight="1">
      <c r="A314" s="6"/>
      <c r="B314" s="6"/>
      <c r="C314" s="3"/>
      <c r="D314" s="3"/>
      <c r="E314" s="6"/>
      <c r="F314" s="89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5.75" customHeight="1">
      <c r="A315" s="6"/>
      <c r="B315" s="6"/>
      <c r="C315" s="3"/>
      <c r="D315" s="3"/>
      <c r="E315" s="6"/>
      <c r="F315" s="89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6"/>
      <c r="B316" s="6"/>
      <c r="C316" s="3"/>
      <c r="D316" s="3"/>
      <c r="E316" s="6"/>
      <c r="F316" s="89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6"/>
      <c r="B317" s="6"/>
      <c r="C317" s="3"/>
      <c r="D317" s="3"/>
      <c r="E317" s="6"/>
      <c r="F317" s="89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6"/>
      <c r="B318" s="6"/>
      <c r="C318" s="3"/>
      <c r="D318" s="3"/>
      <c r="E318" s="6"/>
      <c r="F318" s="89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6"/>
      <c r="B319" s="6"/>
      <c r="C319" s="3"/>
      <c r="D319" s="3"/>
      <c r="E319" s="6"/>
      <c r="F319" s="89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6"/>
      <c r="B320" s="6"/>
      <c r="C320" s="3"/>
      <c r="D320" s="3"/>
      <c r="E320" s="6"/>
      <c r="F320" s="89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6"/>
      <c r="B321" s="6"/>
      <c r="C321" s="3"/>
      <c r="D321" s="3"/>
      <c r="E321" s="6"/>
      <c r="F321" s="89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6"/>
      <c r="B322" s="6"/>
      <c r="C322" s="3"/>
      <c r="D322" s="3"/>
      <c r="E322" s="6"/>
      <c r="F322" s="89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6"/>
      <c r="B323" s="6"/>
      <c r="C323" s="3"/>
      <c r="D323" s="3"/>
      <c r="E323" s="6"/>
      <c r="F323" s="89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6"/>
      <c r="B324" s="6"/>
      <c r="C324" s="3"/>
      <c r="D324" s="3"/>
      <c r="E324" s="6"/>
      <c r="F324" s="89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6"/>
      <c r="B325" s="6"/>
      <c r="C325" s="3"/>
      <c r="D325" s="3"/>
      <c r="E325" s="6"/>
      <c r="F325" s="89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6"/>
      <c r="B326" s="6"/>
      <c r="C326" s="3"/>
      <c r="D326" s="3"/>
      <c r="E326" s="6"/>
      <c r="F326" s="89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6"/>
      <c r="B327" s="6"/>
      <c r="C327" s="3"/>
      <c r="D327" s="3"/>
      <c r="E327" s="6"/>
      <c r="F327" s="89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6"/>
      <c r="B328" s="6"/>
      <c r="C328" s="3"/>
      <c r="D328" s="3"/>
      <c r="E328" s="6"/>
      <c r="F328" s="89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6"/>
      <c r="B329" s="6"/>
      <c r="C329" s="3"/>
      <c r="D329" s="3"/>
      <c r="E329" s="6"/>
      <c r="F329" s="89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6"/>
      <c r="B330" s="6"/>
      <c r="C330" s="3"/>
      <c r="D330" s="3"/>
      <c r="E330" s="6"/>
      <c r="F330" s="89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6"/>
      <c r="B331" s="6"/>
      <c r="C331" s="3"/>
      <c r="D331" s="3"/>
      <c r="E331" s="6"/>
      <c r="F331" s="89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6"/>
      <c r="B332" s="6"/>
      <c r="C332" s="3"/>
      <c r="D332" s="3"/>
      <c r="E332" s="6"/>
      <c r="F332" s="89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6"/>
      <c r="B333" s="6"/>
      <c r="C333" s="3"/>
      <c r="D333" s="3"/>
      <c r="E333" s="6"/>
      <c r="F333" s="89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6"/>
      <c r="B334" s="6"/>
      <c r="C334" s="3"/>
      <c r="D334" s="3"/>
      <c r="E334" s="6"/>
      <c r="F334" s="89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6"/>
      <c r="B335" s="6"/>
      <c r="C335" s="3"/>
      <c r="D335" s="3"/>
      <c r="E335" s="6"/>
      <c r="F335" s="89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6"/>
      <c r="B336" s="6"/>
      <c r="C336" s="3"/>
      <c r="D336" s="3"/>
      <c r="E336" s="6"/>
      <c r="F336" s="89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6"/>
      <c r="B337" s="6"/>
      <c r="C337" s="3"/>
      <c r="D337" s="3"/>
      <c r="E337" s="6"/>
      <c r="F337" s="89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89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89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89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89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89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89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89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89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89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89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89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89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89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89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89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89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89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89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89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89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89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89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89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89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89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89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89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89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89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89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89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89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89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89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89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89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89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89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89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89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89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89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89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89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89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89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89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89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89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89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89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89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89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89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89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89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89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89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89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89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89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89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89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89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89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89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89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89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89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89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89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89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89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89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89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89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89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89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89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89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89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89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89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89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89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89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89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89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89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89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89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89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89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89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89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89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89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89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89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89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89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89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89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89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89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89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89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89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89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89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89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89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89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89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89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89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89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89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89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89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89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89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89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89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89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89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89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89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89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89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89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89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89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89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89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89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89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89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89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89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89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89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89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89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89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89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89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89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89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89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89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89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89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89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89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89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89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89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89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89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89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89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89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89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89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89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89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89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89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89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89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89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89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89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89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89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89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89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89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89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89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89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89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89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89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89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89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89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89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89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89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89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89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89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89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89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89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89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89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89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89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89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89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89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89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89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89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89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89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89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89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89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89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89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89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89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89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89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89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89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89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89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89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89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89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89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89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89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89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89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89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89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89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89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89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6"/>
      <c r="B573" s="6"/>
      <c r="C573" s="6"/>
      <c r="D573" s="6"/>
      <c r="E573" s="6"/>
      <c r="F573" s="89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6"/>
      <c r="B574" s="6"/>
      <c r="C574" s="6"/>
      <c r="D574" s="6"/>
      <c r="E574" s="6"/>
      <c r="F574" s="89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6"/>
      <c r="B575" s="6"/>
      <c r="C575" s="6"/>
      <c r="D575" s="6"/>
      <c r="E575" s="6"/>
      <c r="F575" s="89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6"/>
      <c r="B576" s="6"/>
      <c r="C576" s="6"/>
      <c r="D576" s="6"/>
      <c r="E576" s="6"/>
      <c r="F576" s="89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6"/>
      <c r="B577" s="6"/>
      <c r="C577" s="6"/>
      <c r="D577" s="6"/>
      <c r="E577" s="6"/>
      <c r="F577" s="89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6"/>
      <c r="B578" s="6"/>
      <c r="C578" s="6"/>
      <c r="D578" s="6"/>
      <c r="E578" s="6"/>
      <c r="F578" s="89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6"/>
      <c r="B579" s="6"/>
      <c r="C579" s="6"/>
      <c r="D579" s="6"/>
      <c r="E579" s="6"/>
      <c r="F579" s="89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6"/>
      <c r="B580" s="6"/>
      <c r="C580" s="6"/>
      <c r="D580" s="6"/>
      <c r="E580" s="6"/>
      <c r="F580" s="89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6"/>
      <c r="B581" s="6"/>
      <c r="C581" s="6"/>
      <c r="D581" s="6"/>
      <c r="E581" s="6"/>
      <c r="F581" s="89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6"/>
      <c r="B582" s="6"/>
      <c r="C582" s="6"/>
      <c r="D582" s="6"/>
      <c r="E582" s="6"/>
      <c r="F582" s="89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6"/>
      <c r="B583" s="6"/>
      <c r="C583" s="6"/>
      <c r="D583" s="6"/>
      <c r="E583" s="6"/>
      <c r="F583" s="89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6"/>
      <c r="B584" s="6"/>
      <c r="C584" s="6"/>
      <c r="D584" s="6"/>
      <c r="E584" s="6"/>
      <c r="F584" s="89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6"/>
      <c r="B585" s="6"/>
      <c r="C585" s="6"/>
      <c r="D585" s="6"/>
      <c r="E585" s="6"/>
      <c r="F585" s="89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6"/>
      <c r="B586" s="6"/>
      <c r="C586" s="6"/>
      <c r="D586" s="6"/>
      <c r="E586" s="6"/>
      <c r="F586" s="89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6"/>
      <c r="B587" s="6"/>
      <c r="C587" s="6"/>
      <c r="D587" s="6"/>
      <c r="E587" s="6"/>
      <c r="F587" s="89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6"/>
      <c r="B588" s="6"/>
      <c r="C588" s="6"/>
      <c r="D588" s="6"/>
      <c r="E588" s="6"/>
      <c r="F588" s="89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6"/>
      <c r="B589" s="6"/>
      <c r="C589" s="6"/>
      <c r="D589" s="6"/>
      <c r="E589" s="6"/>
      <c r="F589" s="89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6"/>
      <c r="B590" s="6"/>
      <c r="C590" s="6"/>
      <c r="D590" s="6"/>
      <c r="E590" s="6"/>
      <c r="F590" s="89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6"/>
      <c r="B591" s="6"/>
      <c r="C591" s="6"/>
      <c r="D591" s="6"/>
      <c r="E591" s="6"/>
      <c r="F591" s="89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6"/>
      <c r="B592" s="6"/>
      <c r="C592" s="6"/>
      <c r="D592" s="6"/>
      <c r="E592" s="6"/>
      <c r="F592" s="89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6"/>
      <c r="B593" s="6"/>
      <c r="C593" s="6"/>
      <c r="D593" s="6"/>
      <c r="E593" s="6"/>
      <c r="F593" s="89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6"/>
      <c r="B594" s="6"/>
      <c r="C594" s="6"/>
      <c r="D594" s="6"/>
      <c r="E594" s="6"/>
      <c r="F594" s="89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6"/>
      <c r="B595" s="6"/>
      <c r="C595" s="6"/>
      <c r="D595" s="6"/>
      <c r="E595" s="6"/>
      <c r="F595" s="89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6"/>
      <c r="B596" s="6"/>
      <c r="C596" s="6"/>
      <c r="D596" s="6"/>
      <c r="E596" s="6"/>
      <c r="F596" s="89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6"/>
      <c r="B597" s="6"/>
      <c r="C597" s="6"/>
      <c r="D597" s="6"/>
      <c r="E597" s="6"/>
      <c r="F597" s="89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6"/>
      <c r="B598" s="6"/>
      <c r="C598" s="6"/>
      <c r="D598" s="6"/>
      <c r="E598" s="6"/>
      <c r="F598" s="89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6"/>
      <c r="B599" s="6"/>
      <c r="C599" s="6"/>
      <c r="D599" s="6"/>
      <c r="E599" s="6"/>
      <c r="F599" s="89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6"/>
      <c r="B600" s="6"/>
      <c r="C600" s="6"/>
      <c r="D600" s="6"/>
      <c r="E600" s="6"/>
      <c r="F600" s="89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6"/>
      <c r="B601" s="6"/>
      <c r="C601" s="6"/>
      <c r="D601" s="6"/>
      <c r="E601" s="6"/>
      <c r="F601" s="89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6"/>
      <c r="B602" s="6"/>
      <c r="C602" s="6"/>
      <c r="D602" s="6"/>
      <c r="E602" s="6"/>
      <c r="F602" s="89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6"/>
      <c r="B603" s="6"/>
      <c r="C603" s="6"/>
      <c r="D603" s="6"/>
      <c r="E603" s="6"/>
      <c r="F603" s="89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6"/>
      <c r="B604" s="6"/>
      <c r="C604" s="6"/>
      <c r="D604" s="6"/>
      <c r="E604" s="6"/>
      <c r="F604" s="89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6"/>
      <c r="B605" s="6"/>
      <c r="C605" s="6"/>
      <c r="D605" s="6"/>
      <c r="E605" s="6"/>
      <c r="F605" s="89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6"/>
      <c r="B606" s="6"/>
      <c r="C606" s="6"/>
      <c r="D606" s="6"/>
      <c r="E606" s="6"/>
      <c r="F606" s="89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6"/>
      <c r="B607" s="6"/>
      <c r="C607" s="6"/>
      <c r="D607" s="6"/>
      <c r="E607" s="6"/>
      <c r="F607" s="89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6"/>
      <c r="B608" s="6"/>
      <c r="C608" s="6"/>
      <c r="D608" s="6"/>
      <c r="E608" s="6"/>
      <c r="F608" s="89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>
      <c r="A609" s="6"/>
      <c r="B609" s="6"/>
      <c r="C609" s="6"/>
      <c r="D609" s="6"/>
      <c r="E609" s="6"/>
      <c r="F609" s="89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5.75" customHeight="1">
      <c r="A610" s="6"/>
      <c r="B610" s="6"/>
      <c r="C610" s="6"/>
      <c r="D610" s="6"/>
      <c r="E610" s="6"/>
      <c r="F610" s="89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5.75" customHeight="1">
      <c r="A611" s="6"/>
      <c r="B611" s="6"/>
      <c r="C611" s="6"/>
      <c r="D611" s="6"/>
      <c r="E611" s="6"/>
      <c r="F611" s="89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5.75" customHeight="1">
      <c r="A612" s="6"/>
      <c r="B612" s="6"/>
      <c r="C612" s="6"/>
      <c r="D612" s="6"/>
      <c r="E612" s="6"/>
      <c r="F612" s="89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5.75" customHeight="1">
      <c r="A613" s="6"/>
      <c r="B613" s="6"/>
      <c r="C613" s="6"/>
      <c r="D613" s="6"/>
      <c r="E613" s="6"/>
      <c r="F613" s="89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5.75" customHeight="1">
      <c r="A614" s="6"/>
      <c r="B614" s="6"/>
      <c r="C614" s="6"/>
      <c r="D614" s="6"/>
      <c r="E614" s="6"/>
      <c r="F614" s="89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5.75" customHeight="1">
      <c r="A615" s="6"/>
      <c r="B615" s="6"/>
      <c r="C615" s="6"/>
      <c r="D615" s="6"/>
      <c r="E615" s="6"/>
      <c r="F615" s="89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5.75" customHeight="1">
      <c r="A616" s="6"/>
      <c r="B616" s="6"/>
      <c r="C616" s="6"/>
      <c r="D616" s="6"/>
      <c r="E616" s="6"/>
      <c r="F616" s="89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5.75" customHeight="1">
      <c r="A617" s="6"/>
      <c r="B617" s="6"/>
      <c r="C617" s="6"/>
      <c r="D617" s="6"/>
      <c r="E617" s="6"/>
      <c r="F617" s="89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5.75" customHeight="1">
      <c r="A618" s="6"/>
      <c r="B618" s="6"/>
      <c r="C618" s="6"/>
      <c r="D618" s="6"/>
      <c r="E618" s="6"/>
      <c r="F618" s="89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5.75" customHeight="1">
      <c r="A619" s="6"/>
      <c r="B619" s="6"/>
      <c r="C619" s="6"/>
      <c r="D619" s="6"/>
      <c r="E619" s="6"/>
      <c r="F619" s="89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5.75" customHeight="1">
      <c r="A620" s="6"/>
      <c r="B620" s="6"/>
      <c r="C620" s="6"/>
      <c r="D620" s="6"/>
      <c r="E620" s="6"/>
      <c r="F620" s="89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5.75" customHeight="1">
      <c r="A621" s="6"/>
      <c r="B621" s="6"/>
      <c r="C621" s="6"/>
      <c r="D621" s="6"/>
      <c r="E621" s="6"/>
      <c r="F621" s="89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5.75" customHeight="1">
      <c r="A622" s="6"/>
      <c r="B622" s="6"/>
      <c r="C622" s="6"/>
      <c r="D622" s="6"/>
      <c r="E622" s="6"/>
      <c r="F622" s="89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5.75" customHeight="1">
      <c r="A623" s="6"/>
      <c r="B623" s="6"/>
      <c r="C623" s="6"/>
      <c r="D623" s="6"/>
      <c r="E623" s="6"/>
      <c r="F623" s="89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5.75" customHeight="1">
      <c r="A624" s="6"/>
      <c r="B624" s="6"/>
      <c r="C624" s="6"/>
      <c r="D624" s="6"/>
      <c r="E624" s="6"/>
      <c r="F624" s="89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5.75" customHeight="1">
      <c r="A625" s="6"/>
      <c r="B625" s="6"/>
      <c r="C625" s="6"/>
      <c r="D625" s="6"/>
      <c r="E625" s="6"/>
      <c r="F625" s="89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5.75" customHeight="1">
      <c r="A626" s="6"/>
      <c r="B626" s="6"/>
      <c r="C626" s="6"/>
      <c r="D626" s="6"/>
      <c r="E626" s="6"/>
      <c r="F626" s="89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5.75" customHeight="1">
      <c r="A627" s="6"/>
      <c r="B627" s="6"/>
      <c r="C627" s="6"/>
      <c r="D627" s="6"/>
      <c r="E627" s="6"/>
      <c r="F627" s="89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5.75" customHeight="1">
      <c r="A628" s="6"/>
      <c r="B628" s="6"/>
      <c r="C628" s="6"/>
      <c r="D628" s="6"/>
      <c r="E628" s="6"/>
      <c r="F628" s="89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5.75" customHeight="1">
      <c r="A629" s="6"/>
      <c r="B629" s="6"/>
      <c r="C629" s="6"/>
      <c r="D629" s="6"/>
      <c r="E629" s="6"/>
      <c r="F629" s="89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5.75" customHeight="1">
      <c r="A630" s="6"/>
      <c r="B630" s="6"/>
      <c r="C630" s="6"/>
      <c r="D630" s="6"/>
      <c r="E630" s="6"/>
      <c r="F630" s="89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5.75" customHeight="1">
      <c r="A631" s="6"/>
      <c r="B631" s="6"/>
      <c r="C631" s="6"/>
      <c r="D631" s="6"/>
      <c r="E631" s="6"/>
      <c r="F631" s="89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5.75" customHeight="1">
      <c r="A632" s="6"/>
      <c r="B632" s="6"/>
      <c r="C632" s="6"/>
      <c r="D632" s="6"/>
      <c r="E632" s="6"/>
      <c r="F632" s="89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5.75" customHeight="1">
      <c r="A633" s="6"/>
      <c r="B633" s="6"/>
      <c r="C633" s="6"/>
      <c r="D633" s="6"/>
      <c r="E633" s="6"/>
      <c r="F633" s="89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5.75" customHeight="1">
      <c r="A634" s="6"/>
      <c r="B634" s="6"/>
      <c r="C634" s="6"/>
      <c r="D634" s="6"/>
      <c r="E634" s="6"/>
      <c r="F634" s="89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5.75" customHeight="1">
      <c r="A635" s="6"/>
      <c r="B635" s="6"/>
      <c r="C635" s="6"/>
      <c r="D635" s="6"/>
      <c r="E635" s="6"/>
      <c r="F635" s="89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5.75" customHeight="1">
      <c r="A636" s="6"/>
      <c r="B636" s="6"/>
      <c r="C636" s="6"/>
      <c r="D636" s="6"/>
      <c r="E636" s="6"/>
      <c r="F636" s="89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5.75" customHeight="1">
      <c r="A637" s="6"/>
      <c r="B637" s="6"/>
      <c r="C637" s="6"/>
      <c r="D637" s="6"/>
      <c r="E637" s="6"/>
      <c r="F637" s="89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5.75" customHeight="1">
      <c r="A638" s="6"/>
      <c r="B638" s="6"/>
      <c r="C638" s="6"/>
      <c r="D638" s="6"/>
      <c r="E638" s="6"/>
      <c r="F638" s="89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5.75" customHeight="1">
      <c r="A639" s="6"/>
      <c r="B639" s="6"/>
      <c r="C639" s="6"/>
      <c r="D639" s="6"/>
      <c r="E639" s="6"/>
      <c r="F639" s="89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5.75" customHeight="1">
      <c r="A640" s="6"/>
      <c r="B640" s="6"/>
      <c r="C640" s="6"/>
      <c r="D640" s="6"/>
      <c r="E640" s="6"/>
      <c r="F640" s="89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5.75" customHeight="1">
      <c r="A641" s="6"/>
      <c r="B641" s="6"/>
      <c r="C641" s="6"/>
      <c r="D641" s="6"/>
      <c r="E641" s="6"/>
      <c r="F641" s="89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5.75" customHeight="1">
      <c r="A642" s="6"/>
      <c r="B642" s="6"/>
      <c r="C642" s="6"/>
      <c r="D642" s="6"/>
      <c r="E642" s="6"/>
      <c r="F642" s="89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5.75" customHeight="1">
      <c r="A643" s="6"/>
      <c r="B643" s="6"/>
      <c r="C643" s="6"/>
      <c r="D643" s="6"/>
      <c r="E643" s="6"/>
      <c r="F643" s="89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5.75" customHeight="1">
      <c r="A644" s="6"/>
      <c r="B644" s="6"/>
      <c r="C644" s="6"/>
      <c r="D644" s="6"/>
      <c r="E644" s="6"/>
      <c r="F644" s="89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5.75" customHeight="1">
      <c r="A645" s="6"/>
      <c r="B645" s="6"/>
      <c r="C645" s="6"/>
      <c r="D645" s="6"/>
      <c r="E645" s="6"/>
      <c r="F645" s="89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5.75" customHeight="1">
      <c r="A646" s="6"/>
      <c r="B646" s="6"/>
      <c r="C646" s="6"/>
      <c r="D646" s="6"/>
      <c r="E646" s="6"/>
      <c r="F646" s="89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5.75" customHeight="1">
      <c r="A647" s="6"/>
      <c r="B647" s="6"/>
      <c r="C647" s="6"/>
      <c r="D647" s="6"/>
      <c r="E647" s="6"/>
      <c r="F647" s="89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5.75" customHeight="1">
      <c r="A648" s="6"/>
      <c r="B648" s="6"/>
      <c r="C648" s="6"/>
      <c r="D648" s="6"/>
      <c r="E648" s="6"/>
      <c r="F648" s="89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5.75" customHeight="1">
      <c r="A649" s="6"/>
      <c r="B649" s="6"/>
      <c r="C649" s="6"/>
      <c r="D649" s="6"/>
      <c r="E649" s="6"/>
      <c r="F649" s="89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5.75" customHeight="1">
      <c r="A650" s="6"/>
      <c r="B650" s="6"/>
      <c r="C650" s="6"/>
      <c r="D650" s="6"/>
      <c r="E650" s="6"/>
      <c r="F650" s="89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5.75" customHeight="1">
      <c r="A651" s="6"/>
      <c r="B651" s="6"/>
      <c r="C651" s="6"/>
      <c r="D651" s="6"/>
      <c r="E651" s="6"/>
      <c r="F651" s="89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5.75" customHeight="1">
      <c r="A652" s="6"/>
      <c r="B652" s="6"/>
      <c r="C652" s="6"/>
      <c r="D652" s="6"/>
      <c r="E652" s="6"/>
      <c r="F652" s="89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5.75" customHeight="1">
      <c r="A653" s="6"/>
      <c r="B653" s="6"/>
      <c r="C653" s="6"/>
      <c r="D653" s="6"/>
      <c r="E653" s="6"/>
      <c r="F653" s="89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5.75" customHeight="1">
      <c r="A654" s="6"/>
      <c r="B654" s="6"/>
      <c r="C654" s="6"/>
      <c r="D654" s="6"/>
      <c r="E654" s="6"/>
      <c r="F654" s="89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5.75" customHeight="1">
      <c r="A655" s="6"/>
      <c r="B655" s="6"/>
      <c r="C655" s="6"/>
      <c r="D655" s="6"/>
      <c r="E655" s="6"/>
      <c r="F655" s="89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5.75" customHeight="1">
      <c r="A656" s="6"/>
      <c r="B656" s="6"/>
      <c r="C656" s="6"/>
      <c r="D656" s="6"/>
      <c r="E656" s="6"/>
      <c r="F656" s="89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5.75" customHeight="1">
      <c r="A657" s="6"/>
      <c r="B657" s="6"/>
      <c r="C657" s="6"/>
      <c r="D657" s="6"/>
      <c r="E657" s="6"/>
      <c r="F657" s="89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5.75" customHeight="1">
      <c r="A658" s="6"/>
      <c r="B658" s="6"/>
      <c r="C658" s="6"/>
      <c r="D658" s="6"/>
      <c r="E658" s="6"/>
      <c r="F658" s="89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5.75" customHeight="1">
      <c r="A659" s="6"/>
      <c r="B659" s="6"/>
      <c r="C659" s="6"/>
      <c r="D659" s="6"/>
      <c r="E659" s="6"/>
      <c r="F659" s="89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5.75" customHeight="1">
      <c r="A660" s="6"/>
      <c r="B660" s="6"/>
      <c r="C660" s="6"/>
      <c r="D660" s="6"/>
      <c r="E660" s="6"/>
      <c r="F660" s="89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5.75" customHeight="1">
      <c r="A661" s="6"/>
      <c r="B661" s="6"/>
      <c r="C661" s="6"/>
      <c r="D661" s="6"/>
      <c r="E661" s="6"/>
      <c r="F661" s="89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5.75" customHeight="1">
      <c r="A662" s="6"/>
      <c r="B662" s="6"/>
      <c r="C662" s="6"/>
      <c r="D662" s="6"/>
      <c r="E662" s="6"/>
      <c r="F662" s="89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5.75" customHeight="1">
      <c r="A663" s="6"/>
      <c r="B663" s="6"/>
      <c r="C663" s="6"/>
      <c r="D663" s="6"/>
      <c r="E663" s="6"/>
      <c r="F663" s="89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5.75" customHeight="1">
      <c r="A664" s="6"/>
      <c r="B664" s="6"/>
      <c r="C664" s="6"/>
      <c r="D664" s="6"/>
      <c r="E664" s="6"/>
      <c r="F664" s="89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5.75" customHeight="1">
      <c r="A665" s="6"/>
      <c r="B665" s="6"/>
      <c r="C665" s="6"/>
      <c r="D665" s="6"/>
      <c r="E665" s="6"/>
      <c r="F665" s="89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5.75" customHeight="1">
      <c r="A666" s="6"/>
      <c r="B666" s="6"/>
      <c r="C666" s="6"/>
      <c r="D666" s="6"/>
      <c r="E666" s="6"/>
      <c r="F666" s="89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5.75" customHeight="1">
      <c r="A667" s="6"/>
      <c r="B667" s="6"/>
      <c r="C667" s="6"/>
      <c r="D667" s="6"/>
      <c r="E667" s="6"/>
      <c r="F667" s="89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5.75" customHeight="1">
      <c r="A668" s="6"/>
      <c r="B668" s="6"/>
      <c r="C668" s="6"/>
      <c r="D668" s="6"/>
      <c r="E668" s="6"/>
      <c r="F668" s="89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5.75" customHeight="1">
      <c r="A669" s="6"/>
      <c r="B669" s="6"/>
      <c r="C669" s="6"/>
      <c r="D669" s="6"/>
      <c r="E669" s="6"/>
      <c r="F669" s="89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5.75" customHeight="1">
      <c r="A670" s="6"/>
      <c r="B670" s="6"/>
      <c r="C670" s="6"/>
      <c r="D670" s="6"/>
      <c r="E670" s="6"/>
      <c r="F670" s="89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5.75" customHeight="1">
      <c r="A671" s="6"/>
      <c r="B671" s="6"/>
      <c r="C671" s="6"/>
      <c r="D671" s="6"/>
      <c r="E671" s="6"/>
      <c r="F671" s="89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5.75" customHeight="1">
      <c r="A672" s="6"/>
      <c r="B672" s="6"/>
      <c r="C672" s="6"/>
      <c r="D672" s="6"/>
      <c r="E672" s="6"/>
      <c r="F672" s="89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5.75" customHeight="1">
      <c r="A673" s="6"/>
      <c r="B673" s="6"/>
      <c r="C673" s="6"/>
      <c r="D673" s="6"/>
      <c r="E673" s="6"/>
      <c r="F673" s="89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5.75" customHeight="1">
      <c r="A674" s="6"/>
      <c r="B674" s="6"/>
      <c r="C674" s="6"/>
      <c r="D674" s="6"/>
      <c r="E674" s="6"/>
      <c r="F674" s="89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5.75" customHeight="1">
      <c r="A675" s="6"/>
      <c r="B675" s="6"/>
      <c r="C675" s="6"/>
      <c r="D675" s="6"/>
      <c r="E675" s="6"/>
      <c r="F675" s="89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5.75" customHeight="1">
      <c r="A676" s="6"/>
      <c r="B676" s="6"/>
      <c r="C676" s="6"/>
      <c r="D676" s="6"/>
      <c r="E676" s="6"/>
      <c r="F676" s="89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5.75" customHeight="1">
      <c r="A677" s="6"/>
      <c r="B677" s="6"/>
      <c r="C677" s="6"/>
      <c r="D677" s="6"/>
      <c r="E677" s="6"/>
      <c r="F677" s="89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5.75" customHeight="1">
      <c r="A678" s="6"/>
      <c r="B678" s="6"/>
      <c r="C678" s="6"/>
      <c r="D678" s="6"/>
      <c r="E678" s="6"/>
      <c r="F678" s="89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5.75" customHeight="1">
      <c r="A679" s="6"/>
      <c r="B679" s="6"/>
      <c r="C679" s="6"/>
      <c r="D679" s="6"/>
      <c r="E679" s="6"/>
      <c r="F679" s="89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5.75" customHeight="1">
      <c r="A680" s="6"/>
      <c r="B680" s="6"/>
      <c r="C680" s="6"/>
      <c r="D680" s="6"/>
      <c r="E680" s="6"/>
      <c r="F680" s="89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5.75" customHeight="1">
      <c r="A681" s="6"/>
      <c r="B681" s="6"/>
      <c r="C681" s="6"/>
      <c r="D681" s="6"/>
      <c r="E681" s="6"/>
      <c r="F681" s="89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5.75" customHeight="1">
      <c r="A682" s="6"/>
      <c r="B682" s="6"/>
      <c r="C682" s="6"/>
      <c r="D682" s="6"/>
      <c r="E682" s="6"/>
      <c r="F682" s="89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5.75" customHeight="1">
      <c r="A683" s="6"/>
      <c r="B683" s="6"/>
      <c r="C683" s="6"/>
      <c r="D683" s="6"/>
      <c r="E683" s="6"/>
      <c r="F683" s="89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5.75" customHeight="1">
      <c r="A684" s="6"/>
      <c r="B684" s="6"/>
      <c r="C684" s="6"/>
      <c r="D684" s="6"/>
      <c r="E684" s="6"/>
      <c r="F684" s="89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5.75" customHeight="1">
      <c r="A685" s="6"/>
      <c r="B685" s="6"/>
      <c r="C685" s="6"/>
      <c r="D685" s="6"/>
      <c r="E685" s="6"/>
      <c r="F685" s="89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5.75" customHeight="1">
      <c r="A686" s="6"/>
      <c r="B686" s="6"/>
      <c r="C686" s="6"/>
      <c r="D686" s="6"/>
      <c r="E686" s="6"/>
      <c r="F686" s="89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5.75" customHeight="1">
      <c r="A687" s="6"/>
      <c r="B687" s="6"/>
      <c r="C687" s="6"/>
      <c r="D687" s="6"/>
      <c r="E687" s="6"/>
      <c r="F687" s="89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5.75" customHeight="1">
      <c r="A688" s="6"/>
      <c r="B688" s="6"/>
      <c r="C688" s="6"/>
      <c r="D688" s="6"/>
      <c r="E688" s="6"/>
      <c r="F688" s="89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5.75" customHeight="1">
      <c r="A689" s="6"/>
      <c r="B689" s="6"/>
      <c r="C689" s="6"/>
      <c r="D689" s="6"/>
      <c r="E689" s="6"/>
      <c r="F689" s="89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5.75" customHeight="1">
      <c r="A690" s="6"/>
      <c r="B690" s="6"/>
      <c r="C690" s="6"/>
      <c r="D690" s="6"/>
      <c r="E690" s="6"/>
      <c r="F690" s="89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5.75" customHeight="1">
      <c r="A691" s="6"/>
      <c r="B691" s="6"/>
      <c r="C691" s="6"/>
      <c r="D691" s="6"/>
      <c r="E691" s="6"/>
      <c r="F691" s="89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5.75" customHeight="1">
      <c r="A692" s="6"/>
      <c r="B692" s="6"/>
      <c r="C692" s="6"/>
      <c r="D692" s="6"/>
      <c r="E692" s="6"/>
      <c r="F692" s="89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5.75" customHeight="1">
      <c r="A693" s="6"/>
      <c r="B693" s="6"/>
      <c r="C693" s="6"/>
      <c r="D693" s="6"/>
      <c r="E693" s="6"/>
      <c r="F693" s="89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5.75" customHeight="1">
      <c r="A694" s="6"/>
      <c r="B694" s="6"/>
      <c r="C694" s="6"/>
      <c r="D694" s="6"/>
      <c r="E694" s="6"/>
      <c r="F694" s="89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5.75" customHeight="1">
      <c r="A695" s="6"/>
      <c r="B695" s="6"/>
      <c r="C695" s="6"/>
      <c r="D695" s="6"/>
      <c r="E695" s="6"/>
      <c r="F695" s="89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5.75" customHeight="1">
      <c r="A696" s="6"/>
      <c r="B696" s="6"/>
      <c r="C696" s="6"/>
      <c r="D696" s="6"/>
      <c r="E696" s="6"/>
      <c r="F696" s="89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5.75" customHeight="1">
      <c r="A697" s="6"/>
      <c r="B697" s="6"/>
      <c r="C697" s="6"/>
      <c r="D697" s="6"/>
      <c r="E697" s="6"/>
      <c r="F697" s="89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5.75" customHeight="1">
      <c r="A698" s="6"/>
      <c r="B698" s="6"/>
      <c r="C698" s="6"/>
      <c r="D698" s="6"/>
      <c r="E698" s="6"/>
      <c r="F698" s="89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5.75" customHeight="1">
      <c r="A699" s="6"/>
      <c r="B699" s="6"/>
      <c r="C699" s="6"/>
      <c r="D699" s="6"/>
      <c r="E699" s="6"/>
      <c r="F699" s="89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5.75" customHeight="1">
      <c r="A700" s="6"/>
      <c r="B700" s="6"/>
      <c r="C700" s="6"/>
      <c r="D700" s="6"/>
      <c r="E700" s="6"/>
      <c r="F700" s="89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5.75" customHeight="1">
      <c r="A701" s="6"/>
      <c r="B701" s="6"/>
      <c r="C701" s="6"/>
      <c r="D701" s="6"/>
      <c r="E701" s="6"/>
      <c r="F701" s="89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5.75" customHeight="1">
      <c r="A702" s="6"/>
      <c r="B702" s="6"/>
      <c r="C702" s="6"/>
      <c r="D702" s="6"/>
      <c r="E702" s="6"/>
      <c r="F702" s="89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5.75" customHeight="1">
      <c r="A703" s="6"/>
      <c r="B703" s="6"/>
      <c r="C703" s="6"/>
      <c r="D703" s="6"/>
      <c r="E703" s="6"/>
      <c r="F703" s="89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5.75" customHeight="1">
      <c r="A704" s="6"/>
      <c r="B704" s="6"/>
      <c r="C704" s="6"/>
      <c r="D704" s="6"/>
      <c r="E704" s="6"/>
      <c r="F704" s="89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5.75" customHeight="1">
      <c r="A705" s="6"/>
      <c r="B705" s="6"/>
      <c r="C705" s="6"/>
      <c r="D705" s="6"/>
      <c r="E705" s="6"/>
      <c r="F705" s="89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5.75" customHeight="1">
      <c r="A706" s="6"/>
      <c r="B706" s="6"/>
      <c r="C706" s="6"/>
      <c r="D706" s="6"/>
      <c r="E706" s="6"/>
      <c r="F706" s="89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5.75" customHeight="1">
      <c r="A707" s="6"/>
      <c r="B707" s="6"/>
      <c r="C707" s="6"/>
      <c r="D707" s="6"/>
      <c r="E707" s="6"/>
      <c r="F707" s="89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5.75" customHeight="1">
      <c r="A708" s="6"/>
      <c r="B708" s="6"/>
      <c r="C708" s="6"/>
      <c r="D708" s="6"/>
      <c r="E708" s="6"/>
      <c r="F708" s="89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5.75" customHeight="1">
      <c r="A709" s="6"/>
      <c r="B709" s="6"/>
      <c r="C709" s="6"/>
      <c r="D709" s="6"/>
      <c r="E709" s="6"/>
      <c r="F709" s="89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5.75" customHeight="1">
      <c r="A710" s="6"/>
      <c r="B710" s="6"/>
      <c r="C710" s="6"/>
      <c r="D710" s="6"/>
      <c r="E710" s="6"/>
      <c r="F710" s="89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5.75" customHeight="1">
      <c r="A711" s="6"/>
      <c r="B711" s="6"/>
      <c r="C711" s="6"/>
      <c r="D711" s="6"/>
      <c r="E711" s="6"/>
      <c r="F711" s="89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5.75" customHeight="1">
      <c r="A712" s="6"/>
      <c r="B712" s="6"/>
      <c r="C712" s="6"/>
      <c r="D712" s="6"/>
      <c r="E712" s="6"/>
      <c r="F712" s="89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5.75" customHeight="1">
      <c r="A713" s="6"/>
      <c r="B713" s="6"/>
      <c r="C713" s="6"/>
      <c r="D713" s="6"/>
      <c r="E713" s="6"/>
      <c r="F713" s="89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5.75" customHeight="1">
      <c r="A714" s="6"/>
      <c r="B714" s="6"/>
      <c r="C714" s="6"/>
      <c r="D714" s="6"/>
      <c r="E714" s="6"/>
      <c r="F714" s="89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5.75" customHeight="1">
      <c r="A715" s="6"/>
      <c r="B715" s="6"/>
      <c r="C715" s="6"/>
      <c r="D715" s="6"/>
      <c r="E715" s="6"/>
      <c r="F715" s="89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5.75" customHeight="1">
      <c r="A716" s="6"/>
      <c r="B716" s="6"/>
      <c r="C716" s="6"/>
      <c r="D716" s="6"/>
      <c r="E716" s="6"/>
      <c r="F716" s="89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5.75" customHeight="1">
      <c r="A717" s="6"/>
      <c r="B717" s="6"/>
      <c r="C717" s="6"/>
      <c r="D717" s="6"/>
      <c r="E717" s="6"/>
      <c r="F717" s="89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5.75" customHeight="1">
      <c r="A718" s="6"/>
      <c r="B718" s="6"/>
      <c r="C718" s="6"/>
      <c r="D718" s="6"/>
      <c r="E718" s="6"/>
      <c r="F718" s="89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5.75" customHeight="1">
      <c r="A719" s="6"/>
      <c r="B719" s="6"/>
      <c r="C719" s="6"/>
      <c r="D719" s="6"/>
      <c r="E719" s="6"/>
      <c r="F719" s="89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5.75" customHeight="1">
      <c r="A720" s="6"/>
      <c r="B720" s="6"/>
      <c r="C720" s="6"/>
      <c r="D720" s="6"/>
      <c r="E720" s="6"/>
      <c r="F720" s="89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5.75" customHeight="1">
      <c r="A721" s="6"/>
      <c r="B721" s="6"/>
      <c r="C721" s="6"/>
      <c r="D721" s="6"/>
      <c r="E721" s="6"/>
      <c r="F721" s="89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5.75" customHeight="1">
      <c r="A722" s="6"/>
      <c r="B722" s="6"/>
      <c r="C722" s="6"/>
      <c r="D722" s="6"/>
      <c r="E722" s="6"/>
      <c r="F722" s="89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5.75" customHeight="1">
      <c r="A723" s="6"/>
      <c r="B723" s="6"/>
      <c r="C723" s="6"/>
      <c r="D723" s="6"/>
      <c r="E723" s="6"/>
      <c r="F723" s="89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5.75" customHeight="1">
      <c r="A724" s="6"/>
      <c r="B724" s="6"/>
      <c r="C724" s="6"/>
      <c r="D724" s="6"/>
      <c r="E724" s="6"/>
      <c r="F724" s="89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5.75" customHeight="1">
      <c r="A725" s="6"/>
      <c r="B725" s="6"/>
      <c r="C725" s="6"/>
      <c r="D725" s="6"/>
      <c r="E725" s="6"/>
      <c r="F725" s="89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5.75" customHeight="1">
      <c r="A726" s="6"/>
      <c r="B726" s="6"/>
      <c r="C726" s="6"/>
      <c r="D726" s="6"/>
      <c r="E726" s="6"/>
      <c r="F726" s="89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5.75" customHeight="1">
      <c r="A727" s="6"/>
      <c r="B727" s="6"/>
      <c r="C727" s="6"/>
      <c r="D727" s="6"/>
      <c r="E727" s="6"/>
      <c r="F727" s="89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5.75" customHeight="1">
      <c r="A728" s="6"/>
      <c r="B728" s="6"/>
      <c r="C728" s="6"/>
      <c r="D728" s="6"/>
      <c r="E728" s="6"/>
      <c r="F728" s="89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5.75" customHeight="1">
      <c r="A729" s="6"/>
      <c r="B729" s="6"/>
      <c r="C729" s="6"/>
      <c r="D729" s="6"/>
      <c r="E729" s="6"/>
      <c r="F729" s="89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5.75" customHeight="1">
      <c r="A730" s="6"/>
      <c r="B730" s="6"/>
      <c r="C730" s="6"/>
      <c r="D730" s="6"/>
      <c r="E730" s="6"/>
      <c r="F730" s="89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5.75" customHeight="1">
      <c r="A731" s="6"/>
      <c r="B731" s="6"/>
      <c r="C731" s="6"/>
      <c r="D731" s="6"/>
      <c r="E731" s="6"/>
      <c r="F731" s="89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5.75" customHeight="1">
      <c r="A732" s="6"/>
      <c r="B732" s="6"/>
      <c r="C732" s="6"/>
      <c r="D732" s="6"/>
      <c r="E732" s="6"/>
      <c r="F732" s="89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5.75" customHeight="1">
      <c r="A733" s="6"/>
      <c r="B733" s="6"/>
      <c r="C733" s="6"/>
      <c r="D733" s="6"/>
      <c r="E733" s="6"/>
      <c r="F733" s="89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5.75" customHeight="1">
      <c r="A734" s="6"/>
      <c r="B734" s="6"/>
      <c r="C734" s="6"/>
      <c r="D734" s="6"/>
      <c r="E734" s="6"/>
      <c r="F734" s="89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5.75" customHeight="1">
      <c r="A735" s="6"/>
      <c r="B735" s="6"/>
      <c r="C735" s="6"/>
      <c r="D735" s="6"/>
      <c r="E735" s="6"/>
      <c r="F735" s="89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5.75" customHeight="1">
      <c r="A736" s="6"/>
      <c r="B736" s="6"/>
      <c r="C736" s="6"/>
      <c r="D736" s="6"/>
      <c r="E736" s="6"/>
      <c r="F736" s="89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5.75" customHeight="1">
      <c r="A737" s="6"/>
      <c r="B737" s="6"/>
      <c r="C737" s="6"/>
      <c r="D737" s="6"/>
      <c r="E737" s="6"/>
      <c r="F737" s="89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5.75" customHeight="1">
      <c r="A738" s="6"/>
      <c r="B738" s="6"/>
      <c r="C738" s="6"/>
      <c r="D738" s="6"/>
      <c r="E738" s="6"/>
      <c r="F738" s="89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5.75" customHeight="1">
      <c r="A739" s="6"/>
      <c r="B739" s="6"/>
      <c r="C739" s="6"/>
      <c r="D739" s="6"/>
      <c r="E739" s="6"/>
      <c r="F739" s="89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5.75" customHeight="1">
      <c r="A740" s="6"/>
      <c r="B740" s="6"/>
      <c r="C740" s="6"/>
      <c r="D740" s="6"/>
      <c r="E740" s="6"/>
      <c r="F740" s="89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5.75" customHeight="1">
      <c r="A741" s="6"/>
      <c r="B741" s="6"/>
      <c r="C741" s="6"/>
      <c r="D741" s="6"/>
      <c r="E741" s="6"/>
      <c r="F741" s="89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5.75" customHeight="1">
      <c r="A742" s="6"/>
      <c r="B742" s="6"/>
      <c r="C742" s="6"/>
      <c r="D742" s="6"/>
      <c r="E742" s="6"/>
      <c r="F742" s="89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5.75" customHeight="1">
      <c r="A743" s="6"/>
      <c r="B743" s="6"/>
      <c r="C743" s="6"/>
      <c r="D743" s="6"/>
      <c r="E743" s="6"/>
      <c r="F743" s="89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5.75" customHeight="1">
      <c r="A744" s="6"/>
      <c r="B744" s="6"/>
      <c r="C744" s="6"/>
      <c r="D744" s="6"/>
      <c r="E744" s="6"/>
      <c r="F744" s="89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5.75" customHeight="1">
      <c r="A745" s="6"/>
      <c r="B745" s="6"/>
      <c r="C745" s="6"/>
      <c r="D745" s="6"/>
      <c r="E745" s="6"/>
      <c r="F745" s="89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5.75" customHeight="1">
      <c r="A746" s="6"/>
      <c r="B746" s="6"/>
      <c r="C746" s="6"/>
      <c r="D746" s="6"/>
      <c r="E746" s="6"/>
      <c r="F746" s="89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5.75" customHeight="1">
      <c r="A747" s="6"/>
      <c r="B747" s="6"/>
      <c r="C747" s="6"/>
      <c r="D747" s="6"/>
      <c r="E747" s="6"/>
      <c r="F747" s="89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5.75" customHeight="1">
      <c r="A748" s="6"/>
      <c r="B748" s="6"/>
      <c r="C748" s="6"/>
      <c r="D748" s="6"/>
      <c r="E748" s="6"/>
      <c r="F748" s="89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5.75" customHeight="1">
      <c r="A749" s="6"/>
      <c r="B749" s="6"/>
      <c r="C749" s="6"/>
      <c r="D749" s="6"/>
      <c r="E749" s="6"/>
      <c r="F749" s="89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5.75" customHeight="1">
      <c r="A750" s="6"/>
      <c r="B750" s="6"/>
      <c r="C750" s="6"/>
      <c r="D750" s="6"/>
      <c r="E750" s="6"/>
      <c r="F750" s="89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5.75" customHeight="1">
      <c r="A751" s="6"/>
      <c r="B751" s="6"/>
      <c r="C751" s="6"/>
      <c r="D751" s="6"/>
      <c r="E751" s="6"/>
      <c r="F751" s="89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5.75" customHeight="1">
      <c r="A752" s="6"/>
      <c r="B752" s="6"/>
      <c r="C752" s="6"/>
      <c r="D752" s="6"/>
      <c r="E752" s="6"/>
      <c r="F752" s="89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5.75" customHeight="1">
      <c r="A753" s="6"/>
      <c r="B753" s="6"/>
      <c r="C753" s="6"/>
      <c r="D753" s="6"/>
      <c r="E753" s="6"/>
      <c r="F753" s="89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5.75" customHeight="1">
      <c r="A754" s="6"/>
      <c r="B754" s="6"/>
      <c r="C754" s="6"/>
      <c r="D754" s="6"/>
      <c r="E754" s="6"/>
      <c r="F754" s="89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5.75" customHeight="1">
      <c r="A755" s="6"/>
      <c r="B755" s="6"/>
      <c r="C755" s="6"/>
      <c r="D755" s="6"/>
      <c r="E755" s="6"/>
      <c r="F755" s="89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5.75" customHeight="1">
      <c r="A756" s="6"/>
      <c r="B756" s="6"/>
      <c r="C756" s="6"/>
      <c r="D756" s="6"/>
      <c r="E756" s="6"/>
      <c r="F756" s="89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5.75" customHeight="1">
      <c r="A757" s="6"/>
      <c r="B757" s="6"/>
      <c r="C757" s="6"/>
      <c r="D757" s="6"/>
      <c r="E757" s="6"/>
      <c r="F757" s="89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5.75" customHeight="1">
      <c r="A758" s="6"/>
      <c r="B758" s="6"/>
      <c r="C758" s="6"/>
      <c r="D758" s="6"/>
      <c r="E758" s="6"/>
      <c r="F758" s="89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5.75" customHeight="1">
      <c r="A759" s="6"/>
      <c r="B759" s="6"/>
      <c r="C759" s="6"/>
      <c r="D759" s="6"/>
      <c r="E759" s="6"/>
      <c r="F759" s="89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5.75" customHeight="1">
      <c r="A760" s="6"/>
      <c r="B760" s="6"/>
      <c r="C760" s="6"/>
      <c r="D760" s="6"/>
      <c r="E760" s="6"/>
      <c r="F760" s="89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5.75" customHeight="1">
      <c r="A761" s="6"/>
      <c r="B761" s="6"/>
      <c r="C761" s="6"/>
      <c r="D761" s="6"/>
      <c r="E761" s="6"/>
      <c r="F761" s="89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5.75" customHeight="1">
      <c r="A762" s="6"/>
      <c r="B762" s="6"/>
      <c r="C762" s="6"/>
      <c r="D762" s="6"/>
      <c r="E762" s="6"/>
      <c r="F762" s="89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5.75" customHeight="1">
      <c r="A763" s="6"/>
      <c r="B763" s="6"/>
      <c r="C763" s="6"/>
      <c r="D763" s="6"/>
      <c r="E763" s="6"/>
      <c r="F763" s="89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5.75" customHeight="1">
      <c r="A764" s="6"/>
      <c r="B764" s="6"/>
      <c r="C764" s="6"/>
      <c r="D764" s="6"/>
      <c r="E764" s="6"/>
      <c r="F764" s="89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5.75" customHeight="1">
      <c r="A765" s="6"/>
      <c r="B765" s="6"/>
      <c r="C765" s="6"/>
      <c r="D765" s="6"/>
      <c r="E765" s="6"/>
      <c r="F765" s="89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5.75" customHeight="1">
      <c r="A766" s="6"/>
      <c r="B766" s="6"/>
      <c r="C766" s="6"/>
      <c r="D766" s="6"/>
      <c r="E766" s="6"/>
      <c r="F766" s="89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5.75" customHeight="1">
      <c r="A767" s="6"/>
      <c r="B767" s="6"/>
      <c r="C767" s="6"/>
      <c r="D767" s="6"/>
      <c r="E767" s="6"/>
      <c r="F767" s="89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5.75" customHeight="1">
      <c r="A768" s="6"/>
      <c r="B768" s="6"/>
      <c r="C768" s="6"/>
      <c r="D768" s="6"/>
      <c r="E768" s="6"/>
      <c r="F768" s="89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5.75" customHeight="1">
      <c r="A769" s="6"/>
      <c r="B769" s="6"/>
      <c r="C769" s="6"/>
      <c r="D769" s="6"/>
      <c r="E769" s="6"/>
      <c r="F769" s="89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5.75" customHeight="1">
      <c r="A770" s="6"/>
      <c r="B770" s="6"/>
      <c r="C770" s="6"/>
      <c r="D770" s="6"/>
      <c r="E770" s="6"/>
      <c r="F770" s="89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5.75" customHeight="1">
      <c r="A771" s="6"/>
      <c r="B771" s="6"/>
      <c r="C771" s="6"/>
      <c r="D771" s="6"/>
      <c r="E771" s="6"/>
      <c r="F771" s="89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5.75" customHeight="1">
      <c r="A772" s="6"/>
      <c r="B772" s="6"/>
      <c r="C772" s="6"/>
      <c r="D772" s="6"/>
      <c r="E772" s="6"/>
      <c r="F772" s="89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5.75" customHeight="1">
      <c r="A773" s="6"/>
      <c r="B773" s="6"/>
      <c r="C773" s="6"/>
      <c r="D773" s="6"/>
      <c r="E773" s="6"/>
      <c r="F773" s="89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5.75" customHeight="1">
      <c r="A774" s="6"/>
      <c r="B774" s="6"/>
      <c r="C774" s="6"/>
      <c r="D774" s="6"/>
      <c r="E774" s="6"/>
      <c r="F774" s="89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5.75" customHeight="1">
      <c r="A775" s="6"/>
      <c r="B775" s="6"/>
      <c r="C775" s="6"/>
      <c r="D775" s="6"/>
      <c r="E775" s="6"/>
      <c r="F775" s="89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5.75" customHeight="1">
      <c r="A776" s="6"/>
      <c r="B776" s="6"/>
      <c r="C776" s="6"/>
      <c r="D776" s="6"/>
      <c r="E776" s="6"/>
      <c r="F776" s="89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5.75" customHeight="1">
      <c r="A777" s="6"/>
      <c r="B777" s="6"/>
      <c r="C777" s="6"/>
      <c r="D777" s="6"/>
      <c r="E777" s="6"/>
      <c r="F777" s="89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5.75" customHeight="1">
      <c r="A778" s="6"/>
      <c r="B778" s="6"/>
      <c r="C778" s="6"/>
      <c r="D778" s="6"/>
      <c r="E778" s="6"/>
      <c r="F778" s="89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5.75" customHeight="1">
      <c r="A779" s="6"/>
      <c r="B779" s="6"/>
      <c r="C779" s="6"/>
      <c r="D779" s="6"/>
      <c r="E779" s="6"/>
      <c r="F779" s="89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5.75" customHeight="1">
      <c r="A780" s="6"/>
      <c r="B780" s="6"/>
      <c r="C780" s="6"/>
      <c r="D780" s="6"/>
      <c r="E780" s="6"/>
      <c r="F780" s="89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5.75" customHeight="1">
      <c r="A781" s="6"/>
      <c r="B781" s="6"/>
      <c r="C781" s="6"/>
      <c r="D781" s="6"/>
      <c r="E781" s="6"/>
      <c r="F781" s="89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5.75" customHeight="1">
      <c r="A782" s="6"/>
      <c r="B782" s="6"/>
      <c r="C782" s="6"/>
      <c r="D782" s="6"/>
      <c r="E782" s="6"/>
      <c r="F782" s="89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5.75" customHeight="1">
      <c r="A783" s="6"/>
      <c r="B783" s="6"/>
      <c r="C783" s="6"/>
      <c r="D783" s="6"/>
      <c r="E783" s="6"/>
      <c r="F783" s="89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5.75" customHeight="1">
      <c r="A784" s="6"/>
      <c r="B784" s="6"/>
      <c r="C784" s="6"/>
      <c r="D784" s="6"/>
      <c r="E784" s="6"/>
      <c r="F784" s="89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5.75" customHeight="1">
      <c r="A785" s="6"/>
      <c r="B785" s="6"/>
      <c r="C785" s="6"/>
      <c r="D785" s="6"/>
      <c r="E785" s="6"/>
      <c r="F785" s="89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5.75" customHeight="1">
      <c r="A786" s="6"/>
      <c r="B786" s="6"/>
      <c r="C786" s="6"/>
      <c r="D786" s="6"/>
      <c r="E786" s="6"/>
      <c r="F786" s="89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5.75" customHeight="1">
      <c r="A787" s="6"/>
      <c r="B787" s="6"/>
      <c r="C787" s="6"/>
      <c r="D787" s="6"/>
      <c r="E787" s="6"/>
      <c r="F787" s="89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5.75" customHeight="1">
      <c r="A788" s="6"/>
      <c r="B788" s="6"/>
      <c r="C788" s="6"/>
      <c r="D788" s="6"/>
      <c r="E788" s="6"/>
      <c r="F788" s="89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5.75" customHeight="1">
      <c r="A789" s="6"/>
      <c r="B789" s="6"/>
      <c r="C789" s="6"/>
      <c r="D789" s="6"/>
      <c r="E789" s="6"/>
      <c r="F789" s="89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5.75" customHeight="1">
      <c r="A790" s="6"/>
      <c r="B790" s="6"/>
      <c r="C790" s="6"/>
      <c r="D790" s="6"/>
      <c r="E790" s="6"/>
      <c r="F790" s="89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5.75" customHeight="1">
      <c r="A791" s="6"/>
      <c r="B791" s="6"/>
      <c r="C791" s="6"/>
      <c r="D791" s="6"/>
      <c r="E791" s="6"/>
      <c r="F791" s="89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5.75" customHeight="1">
      <c r="A792" s="6"/>
      <c r="B792" s="6"/>
      <c r="C792" s="6"/>
      <c r="D792" s="6"/>
      <c r="E792" s="6"/>
      <c r="F792" s="89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5.75" customHeight="1">
      <c r="A793" s="6"/>
      <c r="B793" s="6"/>
      <c r="C793" s="6"/>
      <c r="D793" s="6"/>
      <c r="E793" s="6"/>
      <c r="F793" s="89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5.75" customHeight="1">
      <c r="A794" s="6"/>
      <c r="B794" s="6"/>
      <c r="C794" s="6"/>
      <c r="D794" s="6"/>
      <c r="E794" s="6"/>
      <c r="F794" s="89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5.75" customHeight="1">
      <c r="A795" s="6"/>
      <c r="B795" s="6"/>
      <c r="C795" s="6"/>
      <c r="D795" s="6"/>
      <c r="E795" s="6"/>
      <c r="F795" s="89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5.75" customHeight="1">
      <c r="A796" s="6"/>
      <c r="B796" s="6"/>
      <c r="C796" s="6"/>
      <c r="D796" s="6"/>
      <c r="E796" s="6"/>
      <c r="F796" s="89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5.75" customHeight="1">
      <c r="A797" s="6"/>
      <c r="B797" s="6"/>
      <c r="C797" s="6"/>
      <c r="D797" s="6"/>
      <c r="E797" s="6"/>
      <c r="F797" s="89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5.75" customHeight="1">
      <c r="A798" s="6"/>
      <c r="B798" s="6"/>
      <c r="C798" s="6"/>
      <c r="D798" s="6"/>
      <c r="E798" s="6"/>
      <c r="F798" s="89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5.75" customHeight="1">
      <c r="A799" s="6"/>
      <c r="B799" s="6"/>
      <c r="C799" s="6"/>
      <c r="D799" s="6"/>
      <c r="E799" s="6"/>
      <c r="F799" s="89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5.75" customHeight="1">
      <c r="A800" s="6"/>
      <c r="B800" s="6"/>
      <c r="C800" s="6"/>
      <c r="D800" s="6"/>
      <c r="E800" s="6"/>
      <c r="F800" s="89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5.75" customHeight="1">
      <c r="A801" s="6"/>
      <c r="B801" s="6"/>
      <c r="C801" s="6"/>
      <c r="D801" s="6"/>
      <c r="E801" s="6"/>
      <c r="F801" s="89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5.75" customHeight="1">
      <c r="A802" s="6"/>
      <c r="B802" s="6"/>
      <c r="C802" s="6"/>
      <c r="D802" s="6"/>
      <c r="E802" s="6"/>
      <c r="F802" s="89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5.75" customHeight="1">
      <c r="A803" s="6"/>
      <c r="B803" s="6"/>
      <c r="C803" s="6"/>
      <c r="D803" s="6"/>
      <c r="E803" s="6"/>
      <c r="F803" s="89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5.75" customHeight="1">
      <c r="A804" s="6"/>
      <c r="B804" s="6"/>
      <c r="C804" s="6"/>
      <c r="D804" s="6"/>
      <c r="E804" s="6"/>
      <c r="F804" s="89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5.75" customHeight="1">
      <c r="A805" s="6"/>
      <c r="B805" s="6"/>
      <c r="C805" s="6"/>
      <c r="D805" s="6"/>
      <c r="E805" s="6"/>
      <c r="F805" s="89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5.75" customHeight="1">
      <c r="A806" s="6"/>
      <c r="B806" s="6"/>
      <c r="C806" s="6"/>
      <c r="D806" s="6"/>
      <c r="E806" s="6"/>
      <c r="F806" s="89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5.75" customHeight="1">
      <c r="A807" s="6"/>
      <c r="B807" s="6"/>
      <c r="C807" s="6"/>
      <c r="D807" s="6"/>
      <c r="E807" s="6"/>
      <c r="F807" s="89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5.75" customHeight="1">
      <c r="A808" s="6"/>
      <c r="B808" s="6"/>
      <c r="C808" s="6"/>
      <c r="D808" s="6"/>
      <c r="E808" s="6"/>
      <c r="F808" s="89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5.75" customHeight="1">
      <c r="A809" s="6"/>
      <c r="B809" s="6"/>
      <c r="C809" s="6"/>
      <c r="D809" s="6"/>
      <c r="E809" s="6"/>
      <c r="F809" s="89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5.75" customHeight="1">
      <c r="A810" s="6"/>
      <c r="B810" s="6"/>
      <c r="C810" s="6"/>
      <c r="D810" s="6"/>
      <c r="E810" s="6"/>
      <c r="F810" s="89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5.75" customHeight="1">
      <c r="A811" s="6"/>
      <c r="B811" s="6"/>
      <c r="C811" s="6"/>
      <c r="D811" s="6"/>
      <c r="E811" s="6"/>
      <c r="F811" s="89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5.75" customHeight="1">
      <c r="A812" s="6"/>
      <c r="B812" s="6"/>
      <c r="C812" s="6"/>
      <c r="D812" s="6"/>
      <c r="E812" s="6"/>
      <c r="F812" s="89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5.75" customHeight="1">
      <c r="A813" s="6"/>
      <c r="B813" s="6"/>
      <c r="C813" s="6"/>
      <c r="D813" s="6"/>
      <c r="E813" s="6"/>
      <c r="F813" s="89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5.75" customHeight="1">
      <c r="A814" s="6"/>
      <c r="B814" s="6"/>
      <c r="C814" s="6"/>
      <c r="D814" s="6"/>
      <c r="E814" s="6"/>
      <c r="F814" s="89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5.75" customHeight="1">
      <c r="A815" s="6"/>
      <c r="B815" s="6"/>
      <c r="C815" s="6"/>
      <c r="D815" s="6"/>
      <c r="E815" s="6"/>
      <c r="F815" s="89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5.75" customHeight="1">
      <c r="A816" s="6"/>
      <c r="B816" s="6"/>
      <c r="C816" s="6"/>
      <c r="D816" s="6"/>
      <c r="E816" s="6"/>
      <c r="F816" s="89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5.75" customHeight="1">
      <c r="A817" s="6"/>
      <c r="B817" s="6"/>
      <c r="C817" s="6"/>
      <c r="D817" s="6"/>
      <c r="E817" s="6"/>
      <c r="F817" s="89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5.75" customHeight="1">
      <c r="A818" s="6"/>
      <c r="B818" s="6"/>
      <c r="C818" s="6"/>
      <c r="D818" s="6"/>
      <c r="E818" s="6"/>
      <c r="F818" s="89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5.75" customHeight="1">
      <c r="A819" s="6"/>
      <c r="B819" s="6"/>
      <c r="C819" s="6"/>
      <c r="D819" s="6"/>
      <c r="E819" s="6"/>
      <c r="F819" s="89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5.75" customHeight="1">
      <c r="A820" s="6"/>
      <c r="B820" s="6"/>
      <c r="C820" s="6"/>
      <c r="D820" s="6"/>
      <c r="E820" s="6"/>
      <c r="F820" s="89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5.75" customHeight="1">
      <c r="A821" s="6"/>
      <c r="B821" s="6"/>
      <c r="C821" s="6"/>
      <c r="D821" s="6"/>
      <c r="E821" s="6"/>
      <c r="F821" s="89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5.75" customHeight="1">
      <c r="A822" s="6"/>
      <c r="B822" s="6"/>
      <c r="C822" s="6"/>
      <c r="D822" s="6"/>
      <c r="E822" s="6"/>
      <c r="F822" s="89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5.75" customHeight="1">
      <c r="A823" s="6"/>
      <c r="B823" s="6"/>
      <c r="C823" s="6"/>
      <c r="D823" s="6"/>
      <c r="E823" s="6"/>
      <c r="F823" s="89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5.75" customHeight="1">
      <c r="A824" s="6"/>
      <c r="B824" s="6"/>
      <c r="C824" s="6"/>
      <c r="D824" s="6"/>
      <c r="E824" s="6"/>
      <c r="F824" s="89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5.75" customHeight="1">
      <c r="A825" s="6"/>
      <c r="B825" s="6"/>
      <c r="C825" s="6"/>
      <c r="D825" s="6"/>
      <c r="E825" s="6"/>
      <c r="F825" s="89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5.75" customHeight="1">
      <c r="A826" s="6"/>
      <c r="B826" s="6"/>
      <c r="C826" s="6"/>
      <c r="D826" s="6"/>
      <c r="E826" s="6"/>
      <c r="F826" s="89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5.75" customHeight="1">
      <c r="A827" s="6"/>
      <c r="B827" s="6"/>
      <c r="C827" s="6"/>
      <c r="D827" s="6"/>
      <c r="E827" s="6"/>
      <c r="F827" s="89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5.75" customHeight="1">
      <c r="A828" s="6"/>
      <c r="B828" s="6"/>
      <c r="C828" s="6"/>
      <c r="D828" s="6"/>
      <c r="E828" s="6"/>
      <c r="F828" s="89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5.75" customHeight="1">
      <c r="A829" s="6"/>
      <c r="B829" s="6"/>
      <c r="C829" s="6"/>
      <c r="D829" s="6"/>
      <c r="E829" s="6"/>
      <c r="F829" s="89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5.75" customHeight="1">
      <c r="A830" s="6"/>
      <c r="B830" s="6"/>
      <c r="C830" s="6"/>
      <c r="D830" s="6"/>
      <c r="E830" s="6"/>
      <c r="F830" s="89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5.75" customHeight="1">
      <c r="A831" s="6"/>
      <c r="B831" s="6"/>
      <c r="C831" s="6"/>
      <c r="D831" s="6"/>
      <c r="E831" s="6"/>
      <c r="F831" s="89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5.75" customHeight="1">
      <c r="A832" s="6"/>
      <c r="B832" s="6"/>
      <c r="C832" s="6"/>
      <c r="D832" s="6"/>
      <c r="E832" s="6"/>
      <c r="F832" s="89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5.75" customHeight="1">
      <c r="A833" s="6"/>
      <c r="B833" s="6"/>
      <c r="C833" s="6"/>
      <c r="D833" s="6"/>
      <c r="E833" s="6"/>
      <c r="F833" s="89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5.75" customHeight="1">
      <c r="A834" s="6"/>
      <c r="B834" s="6"/>
      <c r="C834" s="6"/>
      <c r="D834" s="6"/>
      <c r="E834" s="6"/>
      <c r="F834" s="89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5.75" customHeight="1">
      <c r="A835" s="6"/>
      <c r="B835" s="6"/>
      <c r="C835" s="6"/>
      <c r="D835" s="6"/>
      <c r="E835" s="6"/>
      <c r="F835" s="89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5.75" customHeight="1">
      <c r="A836" s="6"/>
      <c r="B836" s="6"/>
      <c r="C836" s="6"/>
      <c r="D836" s="6"/>
      <c r="E836" s="6"/>
      <c r="F836" s="89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5.75" customHeight="1">
      <c r="A837" s="6"/>
      <c r="B837" s="6"/>
      <c r="C837" s="6"/>
      <c r="D837" s="6"/>
      <c r="E837" s="6"/>
      <c r="F837" s="89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5.75" customHeight="1">
      <c r="A838" s="6"/>
      <c r="B838" s="6"/>
      <c r="C838" s="6"/>
      <c r="D838" s="6"/>
      <c r="E838" s="6"/>
      <c r="F838" s="89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5.75" customHeight="1">
      <c r="A839" s="6"/>
      <c r="B839" s="6"/>
      <c r="C839" s="6"/>
      <c r="D839" s="6"/>
      <c r="E839" s="6"/>
      <c r="F839" s="89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5.75" customHeight="1">
      <c r="A840" s="6"/>
      <c r="B840" s="6"/>
      <c r="C840" s="6"/>
      <c r="D840" s="6"/>
      <c r="E840" s="6"/>
      <c r="F840" s="89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5.75" customHeight="1">
      <c r="A841" s="6"/>
      <c r="B841" s="6"/>
      <c r="C841" s="6"/>
      <c r="D841" s="6"/>
      <c r="E841" s="6"/>
      <c r="F841" s="89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5.75" customHeight="1">
      <c r="A842" s="6"/>
      <c r="B842" s="6"/>
      <c r="C842" s="6"/>
      <c r="D842" s="6"/>
      <c r="E842" s="6"/>
      <c r="F842" s="89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5.75" customHeight="1">
      <c r="A843" s="6"/>
      <c r="B843" s="6"/>
      <c r="C843" s="6"/>
      <c r="D843" s="6"/>
      <c r="E843" s="6"/>
      <c r="F843" s="89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5.75" customHeight="1">
      <c r="A844" s="6"/>
      <c r="B844" s="6"/>
      <c r="C844" s="6"/>
      <c r="D844" s="6"/>
      <c r="E844" s="6"/>
      <c r="F844" s="89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5.75" customHeight="1">
      <c r="A845" s="6"/>
      <c r="B845" s="6"/>
      <c r="C845" s="6"/>
      <c r="D845" s="6"/>
      <c r="E845" s="6"/>
      <c r="F845" s="89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5.75" customHeight="1">
      <c r="A846" s="6"/>
      <c r="B846" s="6"/>
      <c r="C846" s="6"/>
      <c r="D846" s="6"/>
      <c r="E846" s="6"/>
      <c r="F846" s="89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5.75" customHeight="1">
      <c r="A847" s="6"/>
      <c r="B847" s="6"/>
      <c r="C847" s="6"/>
      <c r="D847" s="6"/>
      <c r="E847" s="6"/>
      <c r="F847" s="89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5.75" customHeight="1">
      <c r="A848" s="6"/>
      <c r="B848" s="6"/>
      <c r="C848" s="6"/>
      <c r="D848" s="6"/>
      <c r="E848" s="6"/>
      <c r="F848" s="89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5.75" customHeight="1">
      <c r="A849" s="6"/>
      <c r="B849" s="6"/>
      <c r="C849" s="6"/>
      <c r="D849" s="6"/>
      <c r="E849" s="6"/>
      <c r="F849" s="89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5.75" customHeight="1">
      <c r="A850" s="6"/>
      <c r="B850" s="6"/>
      <c r="C850" s="6"/>
      <c r="D850" s="6"/>
      <c r="E850" s="6"/>
      <c r="F850" s="89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5.75" customHeight="1">
      <c r="A851" s="6"/>
      <c r="B851" s="6"/>
      <c r="C851" s="6"/>
      <c r="D851" s="6"/>
      <c r="E851" s="6"/>
      <c r="F851" s="89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5.75" customHeight="1">
      <c r="A852" s="6"/>
      <c r="B852" s="6"/>
      <c r="C852" s="6"/>
      <c r="D852" s="6"/>
      <c r="E852" s="6"/>
      <c r="F852" s="89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5.75" customHeight="1">
      <c r="A853" s="6"/>
      <c r="B853" s="6"/>
      <c r="C853" s="6"/>
      <c r="D853" s="6"/>
      <c r="E853" s="6"/>
      <c r="F853" s="89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5.75" customHeight="1">
      <c r="A854" s="6"/>
      <c r="B854" s="6"/>
      <c r="C854" s="6"/>
      <c r="D854" s="6"/>
      <c r="E854" s="6"/>
      <c r="F854" s="89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5.75" customHeight="1">
      <c r="A855" s="6"/>
      <c r="B855" s="6"/>
      <c r="C855" s="6"/>
      <c r="D855" s="6"/>
      <c r="E855" s="6"/>
      <c r="F855" s="89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5.75" customHeight="1">
      <c r="A856" s="6"/>
      <c r="B856" s="6"/>
      <c r="C856" s="6"/>
      <c r="D856" s="6"/>
      <c r="E856" s="6"/>
      <c r="F856" s="89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5.75" customHeight="1">
      <c r="A857" s="6"/>
      <c r="B857" s="6"/>
      <c r="C857" s="6"/>
      <c r="D857" s="6"/>
      <c r="E857" s="6"/>
      <c r="F857" s="89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5.75" customHeight="1">
      <c r="A858" s="6"/>
      <c r="B858" s="6"/>
      <c r="C858" s="6"/>
      <c r="D858" s="6"/>
      <c r="E858" s="6"/>
      <c r="F858" s="89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5.75" customHeight="1">
      <c r="A859" s="6"/>
      <c r="B859" s="6"/>
      <c r="C859" s="6"/>
      <c r="D859" s="6"/>
      <c r="E859" s="6"/>
      <c r="F859" s="89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5.75" customHeight="1">
      <c r="A860" s="6"/>
      <c r="B860" s="6"/>
      <c r="C860" s="6"/>
      <c r="D860" s="6"/>
      <c r="E860" s="6"/>
      <c r="F860" s="89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5.75" customHeight="1">
      <c r="A861" s="6"/>
      <c r="B861" s="6"/>
      <c r="C861" s="6"/>
      <c r="D861" s="6"/>
      <c r="E861" s="6"/>
      <c r="F861" s="89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5.75" customHeight="1">
      <c r="A862" s="6"/>
      <c r="B862" s="6"/>
      <c r="C862" s="6"/>
      <c r="D862" s="6"/>
      <c r="E862" s="6"/>
      <c r="F862" s="89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5.75" customHeight="1">
      <c r="A863" s="6"/>
      <c r="B863" s="6"/>
      <c r="C863" s="6"/>
      <c r="D863" s="6"/>
      <c r="E863" s="6"/>
      <c r="F863" s="89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5.75" customHeight="1">
      <c r="A864" s="6"/>
      <c r="B864" s="6"/>
      <c r="C864" s="6"/>
      <c r="D864" s="6"/>
      <c r="E864" s="6"/>
      <c r="F864" s="89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5.75" customHeight="1">
      <c r="A865" s="6"/>
      <c r="B865" s="6"/>
      <c r="C865" s="6"/>
      <c r="D865" s="6"/>
      <c r="E865" s="6"/>
      <c r="F865" s="89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5.75" customHeight="1">
      <c r="A866" s="6"/>
      <c r="B866" s="6"/>
      <c r="C866" s="6"/>
      <c r="D866" s="6"/>
      <c r="E866" s="6"/>
      <c r="F866" s="89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5.75" customHeight="1">
      <c r="A867" s="6"/>
      <c r="B867" s="6"/>
      <c r="C867" s="6"/>
      <c r="D867" s="6"/>
      <c r="E867" s="6"/>
      <c r="F867" s="89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5.75" customHeight="1">
      <c r="A868" s="6"/>
      <c r="B868" s="6"/>
      <c r="C868" s="6"/>
      <c r="D868" s="6"/>
      <c r="E868" s="6"/>
      <c r="F868" s="89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5.75" customHeight="1">
      <c r="A869" s="6"/>
      <c r="B869" s="6"/>
      <c r="C869" s="6"/>
      <c r="D869" s="6"/>
      <c r="E869" s="6"/>
      <c r="F869" s="89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5.75" customHeight="1">
      <c r="A870" s="6"/>
      <c r="B870" s="6"/>
      <c r="C870" s="6"/>
      <c r="D870" s="6"/>
      <c r="E870" s="6"/>
      <c r="F870" s="89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5.75" customHeight="1">
      <c r="A871" s="6"/>
      <c r="B871" s="6"/>
      <c r="C871" s="6"/>
      <c r="D871" s="6"/>
      <c r="E871" s="6"/>
      <c r="F871" s="89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5.75" customHeight="1">
      <c r="A872" s="6"/>
      <c r="B872" s="6"/>
      <c r="C872" s="6"/>
      <c r="D872" s="6"/>
      <c r="E872" s="6"/>
      <c r="F872" s="89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5.75" customHeight="1">
      <c r="A873" s="6"/>
      <c r="B873" s="6"/>
      <c r="C873" s="6"/>
      <c r="D873" s="6"/>
      <c r="E873" s="6"/>
      <c r="F873" s="89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5.75" customHeight="1">
      <c r="A874" s="6"/>
      <c r="B874" s="6"/>
      <c r="C874" s="6"/>
      <c r="D874" s="6"/>
      <c r="E874" s="6"/>
      <c r="F874" s="89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5.75" customHeight="1">
      <c r="A875" s="6"/>
      <c r="B875" s="6"/>
      <c r="C875" s="6"/>
      <c r="D875" s="6"/>
      <c r="E875" s="6"/>
      <c r="F875" s="89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5.75" customHeight="1">
      <c r="A876" s="6"/>
      <c r="B876" s="6"/>
      <c r="C876" s="6"/>
      <c r="D876" s="6"/>
      <c r="E876" s="6"/>
      <c r="F876" s="89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5.75" customHeight="1">
      <c r="A877" s="6"/>
      <c r="B877" s="6"/>
      <c r="C877" s="6"/>
      <c r="D877" s="6"/>
      <c r="E877" s="6"/>
      <c r="F877" s="89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5.75" customHeight="1">
      <c r="A878" s="6"/>
      <c r="B878" s="6"/>
      <c r="C878" s="6"/>
      <c r="D878" s="6"/>
      <c r="E878" s="6"/>
      <c r="F878" s="89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5.75" customHeight="1">
      <c r="A879" s="6"/>
      <c r="B879" s="6"/>
      <c r="C879" s="6"/>
      <c r="D879" s="6"/>
      <c r="E879" s="6"/>
      <c r="F879" s="89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5.75" customHeight="1">
      <c r="A880" s="6"/>
      <c r="B880" s="6"/>
      <c r="C880" s="6"/>
      <c r="D880" s="6"/>
      <c r="E880" s="6"/>
      <c r="F880" s="89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5.75" customHeight="1">
      <c r="A881" s="6"/>
      <c r="B881" s="6"/>
      <c r="C881" s="6"/>
      <c r="D881" s="6"/>
      <c r="E881" s="6"/>
      <c r="F881" s="89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5.75" customHeight="1">
      <c r="A882" s="6"/>
      <c r="B882" s="6"/>
      <c r="C882" s="6"/>
      <c r="D882" s="6"/>
      <c r="E882" s="6"/>
      <c r="F882" s="89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5.75" customHeight="1">
      <c r="A883" s="6"/>
      <c r="B883" s="6"/>
      <c r="C883" s="6"/>
      <c r="D883" s="6"/>
      <c r="E883" s="6"/>
      <c r="F883" s="89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5.75" customHeight="1">
      <c r="A884" s="6"/>
      <c r="B884" s="6"/>
      <c r="C884" s="6"/>
      <c r="D884" s="6"/>
      <c r="E884" s="6"/>
      <c r="F884" s="89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5.75" customHeight="1">
      <c r="A885" s="6"/>
      <c r="B885" s="6"/>
      <c r="C885" s="6"/>
      <c r="D885" s="6"/>
      <c r="E885" s="6"/>
      <c r="F885" s="89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5.75" customHeight="1">
      <c r="A886" s="6"/>
      <c r="B886" s="6"/>
      <c r="C886" s="6"/>
      <c r="D886" s="6"/>
      <c r="E886" s="6"/>
      <c r="F886" s="89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5.75" customHeight="1">
      <c r="A887" s="6"/>
      <c r="B887" s="6"/>
      <c r="C887" s="6"/>
      <c r="D887" s="6"/>
      <c r="E887" s="6"/>
      <c r="F887" s="89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5.75" customHeight="1">
      <c r="A888" s="6"/>
      <c r="B888" s="6"/>
      <c r="C888" s="6"/>
      <c r="D888" s="6"/>
      <c r="E888" s="6"/>
      <c r="F888" s="89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5.75" customHeight="1">
      <c r="A889" s="6"/>
      <c r="B889" s="6"/>
      <c r="C889" s="6"/>
      <c r="D889" s="6"/>
      <c r="E889" s="6"/>
      <c r="F889" s="89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5.75" customHeight="1">
      <c r="A890" s="6"/>
      <c r="B890" s="6"/>
      <c r="C890" s="6"/>
      <c r="D890" s="6"/>
      <c r="E890" s="6"/>
      <c r="F890" s="89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5.75" customHeight="1">
      <c r="A891" s="6"/>
      <c r="B891" s="6"/>
      <c r="C891" s="6"/>
      <c r="D891" s="6"/>
      <c r="E891" s="6"/>
      <c r="F891" s="89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5.75" customHeight="1">
      <c r="A892" s="6"/>
      <c r="B892" s="6"/>
      <c r="C892" s="6"/>
      <c r="D892" s="6"/>
      <c r="E892" s="6"/>
      <c r="F892" s="89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5.75" customHeight="1">
      <c r="A893" s="6"/>
      <c r="B893" s="6"/>
      <c r="C893" s="6"/>
      <c r="D893" s="6"/>
      <c r="E893" s="6"/>
      <c r="F893" s="89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5.75" customHeight="1">
      <c r="A894" s="6"/>
      <c r="B894" s="6"/>
      <c r="C894" s="6"/>
      <c r="D894" s="6"/>
      <c r="E894" s="6"/>
      <c r="F894" s="89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5.75" customHeight="1">
      <c r="A895" s="6"/>
      <c r="B895" s="6"/>
      <c r="C895" s="6"/>
      <c r="D895" s="6"/>
      <c r="E895" s="6"/>
      <c r="F895" s="89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5.75" customHeight="1">
      <c r="A896" s="6"/>
      <c r="B896" s="6"/>
      <c r="C896" s="6"/>
      <c r="D896" s="6"/>
      <c r="E896" s="6"/>
      <c r="F896" s="89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5.75" customHeight="1">
      <c r="A897" s="6"/>
      <c r="B897" s="6"/>
      <c r="C897" s="6"/>
      <c r="D897" s="6"/>
      <c r="E897" s="6"/>
      <c r="F897" s="89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5.75" customHeight="1">
      <c r="A898" s="6"/>
      <c r="B898" s="6"/>
      <c r="C898" s="6"/>
      <c r="D898" s="6"/>
      <c r="E898" s="6"/>
      <c r="F898" s="89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5.75" customHeight="1">
      <c r="A899" s="6"/>
      <c r="B899" s="6"/>
      <c r="C899" s="6"/>
      <c r="D899" s="6"/>
      <c r="E899" s="6"/>
      <c r="F899" s="89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5.75" customHeight="1">
      <c r="A900" s="6"/>
      <c r="B900" s="6"/>
      <c r="C900" s="6"/>
      <c r="D900" s="6"/>
      <c r="E900" s="6"/>
      <c r="F900" s="89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5.75" customHeight="1">
      <c r="A901" s="6"/>
      <c r="B901" s="6"/>
      <c r="C901" s="6"/>
      <c r="D901" s="6"/>
      <c r="E901" s="6"/>
      <c r="F901" s="89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5.75" customHeight="1">
      <c r="A902" s="6"/>
      <c r="B902" s="6"/>
      <c r="C902" s="6"/>
      <c r="D902" s="6"/>
      <c r="E902" s="6"/>
      <c r="F902" s="89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5.75" customHeight="1">
      <c r="A903" s="6"/>
      <c r="B903" s="6"/>
      <c r="C903" s="6"/>
      <c r="D903" s="6"/>
      <c r="E903" s="6"/>
      <c r="F903" s="89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5.75" customHeight="1">
      <c r="A904" s="6"/>
      <c r="B904" s="6"/>
      <c r="C904" s="6"/>
      <c r="D904" s="6"/>
      <c r="E904" s="6"/>
      <c r="F904" s="89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5.75" customHeight="1">
      <c r="A905" s="6"/>
      <c r="B905" s="6"/>
      <c r="C905" s="6"/>
      <c r="D905" s="6"/>
      <c r="E905" s="6"/>
      <c r="F905" s="89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5.75" customHeight="1">
      <c r="A906" s="6"/>
      <c r="B906" s="6"/>
      <c r="C906" s="6"/>
      <c r="D906" s="6"/>
      <c r="E906" s="6"/>
      <c r="F906" s="89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5.75" customHeight="1">
      <c r="A907" s="6"/>
      <c r="B907" s="6"/>
      <c r="C907" s="6"/>
      <c r="D907" s="6"/>
      <c r="E907" s="6"/>
      <c r="F907" s="89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5.75" customHeight="1">
      <c r="A908" s="6"/>
      <c r="B908" s="6"/>
      <c r="C908" s="6"/>
      <c r="D908" s="6"/>
      <c r="E908" s="6"/>
      <c r="F908" s="89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5.75" customHeight="1">
      <c r="A909" s="6"/>
      <c r="B909" s="6"/>
      <c r="C909" s="6"/>
      <c r="D909" s="6"/>
      <c r="E909" s="6"/>
      <c r="F909" s="89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5.75" customHeight="1">
      <c r="A910" s="6"/>
      <c r="B910" s="6"/>
      <c r="C910" s="6"/>
      <c r="D910" s="6"/>
      <c r="E910" s="6"/>
      <c r="F910" s="89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5.75" customHeight="1">
      <c r="A911" s="6"/>
      <c r="B911" s="6"/>
      <c r="C911" s="6"/>
      <c r="D911" s="6"/>
      <c r="E911" s="6"/>
      <c r="F911" s="89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5.75" customHeight="1">
      <c r="A912" s="6"/>
      <c r="B912" s="6"/>
      <c r="C912" s="6"/>
      <c r="D912" s="6"/>
      <c r="E912" s="6"/>
      <c r="F912" s="89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5.75" customHeight="1">
      <c r="A913" s="6"/>
      <c r="B913" s="6"/>
      <c r="C913" s="6"/>
      <c r="D913" s="6"/>
      <c r="E913" s="6"/>
      <c r="F913" s="89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5.75" customHeight="1">
      <c r="A914" s="6"/>
      <c r="B914" s="6"/>
      <c r="C914" s="6"/>
      <c r="D914" s="6"/>
      <c r="E914" s="6"/>
      <c r="F914" s="89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5.75" customHeight="1">
      <c r="A915" s="6"/>
      <c r="B915" s="6"/>
      <c r="C915" s="6"/>
      <c r="D915" s="6"/>
      <c r="E915" s="6"/>
      <c r="F915" s="89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5.75" customHeight="1">
      <c r="A916" s="6"/>
      <c r="B916" s="6"/>
      <c r="C916" s="6"/>
      <c r="D916" s="6"/>
      <c r="E916" s="6"/>
      <c r="F916" s="89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5.75" customHeight="1">
      <c r="A917" s="6"/>
      <c r="B917" s="6"/>
      <c r="C917" s="6"/>
      <c r="D917" s="6"/>
      <c r="E917" s="6"/>
      <c r="F917" s="89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5.75" customHeight="1">
      <c r="A918" s="6"/>
      <c r="B918" s="6"/>
      <c r="C918" s="6"/>
      <c r="D918" s="6"/>
      <c r="E918" s="6"/>
      <c r="F918" s="89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5.75" customHeight="1">
      <c r="A919" s="6"/>
      <c r="B919" s="6"/>
      <c r="C919" s="6"/>
      <c r="D919" s="6"/>
      <c r="E919" s="6"/>
      <c r="F919" s="89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5.75" customHeight="1">
      <c r="A920" s="6"/>
      <c r="B920" s="6"/>
      <c r="C920" s="6"/>
      <c r="D920" s="6"/>
      <c r="E920" s="6"/>
      <c r="F920" s="89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5.75" customHeight="1">
      <c r="A921" s="6"/>
      <c r="B921" s="6"/>
      <c r="C921" s="6"/>
      <c r="D921" s="6"/>
      <c r="E921" s="6"/>
      <c r="F921" s="89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5.75" customHeight="1">
      <c r="A922" s="6"/>
      <c r="B922" s="6"/>
      <c r="C922" s="6"/>
      <c r="D922" s="6"/>
      <c r="E922" s="6"/>
      <c r="F922" s="89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5.75" customHeight="1">
      <c r="A923" s="6"/>
      <c r="B923" s="6"/>
      <c r="C923" s="6"/>
      <c r="D923" s="6"/>
      <c r="E923" s="6"/>
      <c r="F923" s="89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5.75" customHeight="1">
      <c r="A924" s="6"/>
      <c r="B924" s="6"/>
      <c r="C924" s="6"/>
      <c r="D924" s="6"/>
      <c r="E924" s="6"/>
      <c r="F924" s="89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5.75" customHeight="1">
      <c r="A925" s="6"/>
      <c r="B925" s="6"/>
      <c r="C925" s="6"/>
      <c r="D925" s="6"/>
      <c r="E925" s="6"/>
      <c r="F925" s="89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5.75" customHeight="1">
      <c r="A926" s="6"/>
      <c r="B926" s="6"/>
      <c r="C926" s="6"/>
      <c r="D926" s="6"/>
      <c r="E926" s="6"/>
      <c r="F926" s="89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5.75" customHeight="1">
      <c r="A927" s="6"/>
      <c r="B927" s="6"/>
      <c r="C927" s="6"/>
      <c r="D927" s="6"/>
      <c r="E927" s="6"/>
      <c r="F927" s="89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5.75" customHeight="1">
      <c r="A928" s="6"/>
      <c r="B928" s="6"/>
      <c r="C928" s="6"/>
      <c r="D928" s="6"/>
      <c r="E928" s="6"/>
      <c r="F928" s="89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5.75" customHeight="1">
      <c r="A929" s="6"/>
      <c r="B929" s="6"/>
      <c r="C929" s="6"/>
      <c r="D929" s="6"/>
      <c r="E929" s="6"/>
      <c r="F929" s="89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5.75" customHeight="1">
      <c r="A930" s="6"/>
      <c r="B930" s="6"/>
      <c r="C930" s="6"/>
      <c r="D930" s="6"/>
      <c r="E930" s="6"/>
      <c r="F930" s="89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5.75" customHeight="1">
      <c r="A931" s="6"/>
      <c r="B931" s="6"/>
      <c r="C931" s="6"/>
      <c r="D931" s="6"/>
      <c r="E931" s="6"/>
      <c r="F931" s="89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5.75" customHeight="1">
      <c r="A932" s="6"/>
      <c r="B932" s="6"/>
      <c r="C932" s="6"/>
      <c r="D932" s="6"/>
      <c r="E932" s="6"/>
      <c r="F932" s="89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5.75" customHeight="1">
      <c r="A933" s="6"/>
      <c r="B933" s="6"/>
      <c r="C933" s="6"/>
      <c r="D933" s="6"/>
      <c r="E933" s="6"/>
      <c r="F933" s="89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5.75" customHeight="1">
      <c r="A934" s="6"/>
      <c r="B934" s="6"/>
      <c r="C934" s="6"/>
      <c r="D934" s="6"/>
      <c r="E934" s="6"/>
      <c r="F934" s="89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5.75" customHeight="1">
      <c r="A935" s="6"/>
      <c r="B935" s="6"/>
      <c r="C935" s="6"/>
      <c r="D935" s="6"/>
      <c r="E935" s="6"/>
      <c r="F935" s="89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5.75" customHeight="1">
      <c r="A936" s="6"/>
      <c r="B936" s="6"/>
      <c r="C936" s="6"/>
      <c r="D936" s="6"/>
      <c r="E936" s="6"/>
      <c r="F936" s="89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5.75" customHeight="1">
      <c r="A937" s="6"/>
      <c r="B937" s="6"/>
      <c r="C937" s="6"/>
      <c r="D937" s="6"/>
      <c r="E937" s="6"/>
      <c r="F937" s="89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5.75" customHeight="1">
      <c r="A938" s="6"/>
      <c r="B938" s="6"/>
      <c r="C938" s="6"/>
      <c r="D938" s="6"/>
      <c r="E938" s="6"/>
      <c r="F938" s="89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5.75" customHeight="1">
      <c r="A939" s="6"/>
      <c r="B939" s="6"/>
      <c r="C939" s="6"/>
      <c r="D939" s="6"/>
      <c r="E939" s="6"/>
      <c r="F939" s="89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5.75" customHeight="1">
      <c r="A940" s="6"/>
      <c r="B940" s="6"/>
      <c r="C940" s="6"/>
      <c r="D940" s="6"/>
      <c r="E940" s="6"/>
      <c r="F940" s="89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5.75" customHeight="1">
      <c r="A941" s="6"/>
      <c r="B941" s="6"/>
      <c r="C941" s="6"/>
      <c r="D941" s="6"/>
      <c r="E941" s="6"/>
      <c r="F941" s="89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5.75" customHeight="1">
      <c r="A942" s="6"/>
      <c r="B942" s="6"/>
      <c r="C942" s="6"/>
      <c r="D942" s="6"/>
      <c r="E942" s="6"/>
      <c r="F942" s="89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5.75" customHeight="1">
      <c r="A943" s="6"/>
      <c r="B943" s="6"/>
      <c r="C943" s="6"/>
      <c r="D943" s="6"/>
      <c r="E943" s="6"/>
      <c r="F943" s="89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5.75" customHeight="1">
      <c r="A944" s="6"/>
      <c r="B944" s="6"/>
      <c r="C944" s="6"/>
      <c r="D944" s="6"/>
      <c r="E944" s="6"/>
      <c r="F944" s="89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5.75" customHeight="1">
      <c r="A945" s="6"/>
      <c r="B945" s="6"/>
      <c r="C945" s="6"/>
      <c r="D945" s="6"/>
      <c r="E945" s="6"/>
      <c r="F945" s="89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5.75" customHeight="1">
      <c r="A946" s="6"/>
      <c r="B946" s="6"/>
      <c r="C946" s="6"/>
      <c r="D946" s="6"/>
      <c r="E946" s="6"/>
      <c r="F946" s="89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5.75" customHeight="1">
      <c r="A947" s="6"/>
      <c r="B947" s="6"/>
      <c r="C947" s="6"/>
      <c r="D947" s="6"/>
      <c r="E947" s="6"/>
      <c r="F947" s="89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5.75" customHeight="1">
      <c r="A948" s="6"/>
      <c r="B948" s="6"/>
      <c r="C948" s="6"/>
      <c r="D948" s="6"/>
      <c r="E948" s="6"/>
      <c r="F948" s="89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5.75" customHeight="1">
      <c r="A949" s="6"/>
      <c r="B949" s="6"/>
      <c r="C949" s="6"/>
      <c r="D949" s="6"/>
      <c r="E949" s="6"/>
      <c r="F949" s="89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5.75" customHeight="1">
      <c r="A950" s="6"/>
      <c r="B950" s="6"/>
      <c r="C950" s="6"/>
      <c r="D950" s="6"/>
      <c r="E950" s="6"/>
      <c r="F950" s="89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5.75" customHeight="1">
      <c r="A951" s="6"/>
      <c r="B951" s="6"/>
      <c r="C951" s="6"/>
      <c r="D951" s="6"/>
      <c r="E951" s="6"/>
      <c r="F951" s="89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5.75" customHeight="1">
      <c r="A952" s="6"/>
      <c r="B952" s="6"/>
      <c r="C952" s="6"/>
      <c r="D952" s="6"/>
      <c r="E952" s="6"/>
      <c r="F952" s="89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5.75" customHeight="1">
      <c r="A953" s="6"/>
      <c r="B953" s="6"/>
      <c r="C953" s="6"/>
      <c r="D953" s="6"/>
      <c r="E953" s="6"/>
      <c r="F953" s="89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5.75" customHeight="1">
      <c r="A954" s="6"/>
      <c r="B954" s="6"/>
      <c r="C954" s="6"/>
      <c r="D954" s="6"/>
      <c r="E954" s="6"/>
      <c r="F954" s="89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5.75" customHeight="1">
      <c r="A955" s="6"/>
      <c r="B955" s="6"/>
      <c r="C955" s="6"/>
      <c r="D955" s="6"/>
      <c r="E955" s="6"/>
      <c r="F955" s="89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5.75" customHeight="1">
      <c r="A956" s="6"/>
      <c r="B956" s="6"/>
      <c r="C956" s="6"/>
      <c r="D956" s="6"/>
      <c r="E956" s="6"/>
      <c r="F956" s="89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5.75" customHeight="1">
      <c r="A957" s="6"/>
      <c r="B957" s="6"/>
      <c r="C957" s="6"/>
      <c r="D957" s="6"/>
      <c r="E957" s="6"/>
      <c r="F957" s="89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5.75" customHeight="1">
      <c r="A958" s="6"/>
      <c r="B958" s="6"/>
      <c r="C958" s="6"/>
      <c r="D958" s="6"/>
      <c r="E958" s="6"/>
      <c r="F958" s="89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5.75" customHeight="1">
      <c r="A959" s="6"/>
      <c r="B959" s="6"/>
      <c r="C959" s="6"/>
      <c r="D959" s="6"/>
      <c r="E959" s="6"/>
      <c r="F959" s="89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5.75" customHeight="1">
      <c r="A960" s="6"/>
      <c r="B960" s="6"/>
      <c r="C960" s="6"/>
      <c r="D960" s="6"/>
      <c r="E960" s="6"/>
      <c r="F960" s="89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5.75" customHeight="1">
      <c r="A961" s="6"/>
      <c r="B961" s="6"/>
      <c r="C961" s="6"/>
      <c r="D961" s="6"/>
      <c r="E961" s="6"/>
      <c r="F961" s="89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5.75" customHeight="1">
      <c r="A962" s="6"/>
      <c r="B962" s="6"/>
      <c r="C962" s="6"/>
      <c r="D962" s="6"/>
      <c r="E962" s="6"/>
      <c r="F962" s="89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5.75" customHeight="1">
      <c r="A963" s="6"/>
      <c r="B963" s="6"/>
      <c r="C963" s="6"/>
      <c r="D963" s="6"/>
      <c r="E963" s="6"/>
      <c r="F963" s="89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5.75" customHeight="1">
      <c r="A964" s="6"/>
      <c r="B964" s="6"/>
      <c r="C964" s="6"/>
      <c r="D964" s="6"/>
      <c r="E964" s="6"/>
      <c r="F964" s="89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5.75" customHeight="1">
      <c r="A965" s="6"/>
      <c r="B965" s="6"/>
      <c r="C965" s="6"/>
      <c r="D965" s="6"/>
      <c r="E965" s="6"/>
      <c r="F965" s="89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5.75" customHeight="1">
      <c r="A966" s="6"/>
      <c r="B966" s="6"/>
      <c r="C966" s="6"/>
      <c r="D966" s="6"/>
      <c r="E966" s="6"/>
      <c r="F966" s="89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5.75" customHeight="1">
      <c r="A967" s="6"/>
      <c r="B967" s="6"/>
      <c r="C967" s="6"/>
      <c r="D967" s="6"/>
      <c r="E967" s="6"/>
      <c r="F967" s="89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5.75" customHeight="1">
      <c r="A968" s="6"/>
      <c r="B968" s="6"/>
      <c r="C968" s="6"/>
      <c r="D968" s="6"/>
      <c r="E968" s="6"/>
      <c r="F968" s="89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5.75" customHeight="1">
      <c r="A969" s="6"/>
      <c r="B969" s="6"/>
      <c r="C969" s="6"/>
      <c r="D969" s="6"/>
      <c r="E969" s="6"/>
      <c r="F969" s="89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5.75" customHeight="1">
      <c r="A970" s="6"/>
      <c r="B970" s="6"/>
      <c r="C970" s="6"/>
      <c r="D970" s="6"/>
      <c r="E970" s="6"/>
      <c r="F970" s="89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5.75" customHeight="1">
      <c r="A971" s="6"/>
      <c r="B971" s="6"/>
      <c r="C971" s="6"/>
      <c r="D971" s="6"/>
      <c r="E971" s="6"/>
      <c r="F971" s="89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5.75" customHeight="1">
      <c r="A972" s="6"/>
      <c r="B972" s="6"/>
      <c r="C972" s="6"/>
      <c r="D972" s="6"/>
      <c r="E972" s="6"/>
      <c r="F972" s="89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5.75" customHeight="1">
      <c r="A973" s="6"/>
      <c r="B973" s="6"/>
      <c r="C973" s="6"/>
      <c r="D973" s="6"/>
      <c r="E973" s="6"/>
      <c r="F973" s="89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5.75" customHeight="1">
      <c r="A974" s="6"/>
      <c r="B974" s="6"/>
      <c r="C974" s="6"/>
      <c r="D974" s="6"/>
      <c r="E974" s="6"/>
      <c r="F974" s="89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5.75" customHeight="1">
      <c r="A975" s="6"/>
      <c r="B975" s="6"/>
      <c r="C975" s="6"/>
      <c r="D975" s="6"/>
      <c r="E975" s="6"/>
      <c r="F975" s="89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5.75" customHeight="1">
      <c r="A976" s="6"/>
      <c r="B976" s="6"/>
      <c r="C976" s="6"/>
      <c r="D976" s="6"/>
      <c r="E976" s="6"/>
      <c r="F976" s="89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5.75" customHeight="1">
      <c r="A977" s="6"/>
      <c r="B977" s="6"/>
      <c r="C977" s="6"/>
      <c r="D977" s="6"/>
      <c r="E977" s="6"/>
      <c r="F977" s="89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5.75" customHeight="1">
      <c r="A978" s="6"/>
      <c r="B978" s="6"/>
      <c r="C978" s="6"/>
      <c r="D978" s="6"/>
      <c r="E978" s="6"/>
      <c r="F978" s="89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5.75" customHeight="1">
      <c r="A979" s="6"/>
      <c r="B979" s="6"/>
      <c r="C979" s="6"/>
      <c r="D979" s="6"/>
      <c r="E979" s="6"/>
      <c r="F979" s="89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5.75" customHeight="1">
      <c r="A980" s="6"/>
      <c r="B980" s="6"/>
      <c r="C980" s="6"/>
      <c r="D980" s="6"/>
      <c r="E980" s="6"/>
      <c r="F980" s="89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5.75" customHeight="1">
      <c r="A981" s="6"/>
      <c r="B981" s="6"/>
      <c r="C981" s="6"/>
      <c r="D981" s="6"/>
      <c r="E981" s="6"/>
      <c r="F981" s="89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5.75" customHeight="1">
      <c r="A982" s="6"/>
      <c r="B982" s="6"/>
      <c r="C982" s="6"/>
      <c r="D982" s="6"/>
      <c r="E982" s="6"/>
      <c r="F982" s="89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5.75" customHeight="1">
      <c r="A983" s="6"/>
      <c r="B983" s="6"/>
      <c r="C983" s="6"/>
      <c r="D983" s="6"/>
      <c r="E983" s="6"/>
      <c r="F983" s="89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5.75" customHeight="1">
      <c r="A984" s="6"/>
      <c r="B984" s="6"/>
      <c r="C984" s="6"/>
      <c r="D984" s="6"/>
      <c r="E984" s="6"/>
      <c r="F984" s="89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5.75" customHeight="1">
      <c r="A985" s="6"/>
      <c r="B985" s="6"/>
      <c r="C985" s="6"/>
      <c r="D985" s="6"/>
      <c r="E985" s="6"/>
      <c r="F985" s="89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5.75" customHeight="1">
      <c r="A986" s="6"/>
      <c r="B986" s="6"/>
      <c r="C986" s="6"/>
      <c r="D986" s="6"/>
      <c r="E986" s="6"/>
      <c r="F986" s="89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5.75" customHeight="1">
      <c r="A987" s="6"/>
      <c r="B987" s="6"/>
      <c r="C987" s="6"/>
      <c r="D987" s="6"/>
      <c r="E987" s="6"/>
      <c r="F987" s="89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5.75" customHeight="1">
      <c r="A988" s="6"/>
      <c r="B988" s="6"/>
      <c r="C988" s="6"/>
      <c r="D988" s="6"/>
      <c r="E988" s="6"/>
      <c r="F988" s="89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5.75" customHeight="1">
      <c r="A989" s="6"/>
      <c r="B989" s="6"/>
      <c r="C989" s="6"/>
      <c r="D989" s="6"/>
      <c r="E989" s="6"/>
      <c r="F989" s="89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5.75" customHeight="1">
      <c r="A990" s="6"/>
      <c r="B990" s="6"/>
      <c r="C990" s="6"/>
      <c r="D990" s="6"/>
      <c r="E990" s="6"/>
      <c r="F990" s="89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5.75" customHeight="1">
      <c r="A991" s="6"/>
      <c r="B991" s="6"/>
      <c r="C991" s="6"/>
      <c r="D991" s="6"/>
      <c r="E991" s="6"/>
      <c r="F991" s="89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5.75" customHeight="1">
      <c r="A992" s="6"/>
      <c r="B992" s="6"/>
      <c r="C992" s="6"/>
      <c r="D992" s="6"/>
      <c r="E992" s="6"/>
      <c r="F992" s="89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5.75" customHeight="1">
      <c r="A993" s="6"/>
      <c r="B993" s="6"/>
      <c r="C993" s="6"/>
      <c r="D993" s="6"/>
      <c r="E993" s="6"/>
      <c r="F993" s="89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5.75" customHeight="1">
      <c r="A994" s="6"/>
      <c r="B994" s="6"/>
      <c r="C994" s="6"/>
      <c r="D994" s="6"/>
      <c r="E994" s="6"/>
      <c r="F994" s="89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5.75" customHeight="1">
      <c r="A995" s="6"/>
      <c r="B995" s="6"/>
      <c r="C995" s="6"/>
      <c r="D995" s="6"/>
      <c r="E995" s="6"/>
      <c r="F995" s="89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5.75" customHeight="1">
      <c r="A996" s="6"/>
      <c r="B996" s="6"/>
      <c r="C996" s="6"/>
      <c r="D996" s="6"/>
      <c r="E996" s="6"/>
      <c r="F996" s="89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5.75" customHeight="1">
      <c r="A997" s="6"/>
      <c r="B997" s="6"/>
      <c r="C997" s="6"/>
      <c r="D997" s="6"/>
      <c r="E997" s="6"/>
      <c r="F997" s="89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5.75" customHeight="1">
      <c r="A998" s="6"/>
      <c r="B998" s="6"/>
      <c r="C998" s="6"/>
      <c r="D998" s="6"/>
      <c r="E998" s="6"/>
      <c r="F998" s="89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5.75" customHeight="1">
      <c r="A999" s="6"/>
      <c r="B999" s="6"/>
      <c r="C999" s="6"/>
      <c r="D999" s="6"/>
      <c r="E999" s="6"/>
      <c r="F999" s="89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5.75" customHeight="1">
      <c r="A1000" s="6"/>
      <c r="B1000" s="6"/>
      <c r="C1000" s="6"/>
      <c r="D1000" s="6"/>
      <c r="E1000" s="6"/>
      <c r="F1000" s="89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ht="15.75" customHeight="1">
      <c r="A1001" s="6"/>
      <c r="B1001" s="6"/>
      <c r="C1001" s="6"/>
      <c r="D1001" s="6"/>
      <c r="E1001" s="6"/>
      <c r="F1001" s="89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ht="15.75" customHeight="1">
      <c r="A1002" s="6"/>
      <c r="B1002" s="6"/>
      <c r="C1002" s="6"/>
      <c r="D1002" s="6"/>
      <c r="E1002" s="6"/>
      <c r="F1002" s="89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ht="15.75" customHeight="1">
      <c r="A1003" s="6"/>
      <c r="B1003" s="6"/>
      <c r="C1003" s="6"/>
      <c r="D1003" s="6"/>
      <c r="E1003" s="6"/>
      <c r="F1003" s="89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ht="15.75" customHeight="1">
      <c r="A1004" s="6"/>
      <c r="B1004" s="6"/>
      <c r="C1004" s="6"/>
      <c r="D1004" s="6"/>
      <c r="E1004" s="6"/>
      <c r="F1004" s="89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ht="15.75" customHeight="1">
      <c r="A1005" s="6"/>
      <c r="B1005" s="6"/>
      <c r="C1005" s="6"/>
      <c r="D1005" s="6"/>
      <c r="E1005" s="6"/>
      <c r="F1005" s="89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ht="15.75" customHeight="1">
      <c r="A1006" s="6"/>
      <c r="B1006" s="6"/>
      <c r="C1006" s="6"/>
      <c r="D1006" s="6"/>
      <c r="E1006" s="6"/>
      <c r="F1006" s="89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ht="15.75" customHeight="1">
      <c r="A1007" s="6"/>
      <c r="B1007" s="6"/>
      <c r="C1007" s="6"/>
      <c r="D1007" s="6"/>
      <c r="E1007" s="6"/>
      <c r="F1007" s="89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ht="15.75" customHeight="1">
      <c r="A1008" s="6"/>
      <c r="B1008" s="6"/>
      <c r="C1008" s="6"/>
      <c r="D1008" s="6"/>
      <c r="E1008" s="6"/>
      <c r="F1008" s="89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ht="15.75" customHeight="1">
      <c r="A1009" s="6"/>
      <c r="B1009" s="6"/>
      <c r="C1009" s="6"/>
      <c r="D1009" s="6"/>
      <c r="E1009" s="6"/>
      <c r="F1009" s="89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ht="15.75" customHeight="1">
      <c r="A1010" s="6"/>
      <c r="B1010" s="6"/>
      <c r="C1010" s="6"/>
      <c r="D1010" s="6"/>
      <c r="E1010" s="6"/>
      <c r="F1010" s="89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ht="15.75" customHeight="1">
      <c r="A1011" s="6"/>
      <c r="B1011" s="6"/>
      <c r="C1011" s="6"/>
      <c r="D1011" s="6"/>
      <c r="E1011" s="6"/>
      <c r="F1011" s="89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ht="15.75" customHeight="1">
      <c r="A1012" s="6"/>
      <c r="B1012" s="6"/>
      <c r="C1012" s="6"/>
      <c r="D1012" s="6"/>
      <c r="E1012" s="6"/>
      <c r="F1012" s="89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ht="15.75" customHeight="1">
      <c r="A1013" s="6"/>
      <c r="B1013" s="6"/>
      <c r="C1013" s="6"/>
      <c r="D1013" s="6"/>
      <c r="E1013" s="6"/>
      <c r="F1013" s="89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ht="15.75" customHeight="1">
      <c r="A1014" s="6"/>
      <c r="B1014" s="6"/>
      <c r="C1014" s="6"/>
      <c r="D1014" s="6"/>
      <c r="E1014" s="6"/>
      <c r="F1014" s="89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ht="15.75" customHeight="1">
      <c r="A1015" s="6"/>
      <c r="B1015" s="6"/>
      <c r="C1015" s="6"/>
      <c r="D1015" s="6"/>
      <c r="E1015" s="6"/>
      <c r="F1015" s="89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ht="15.75" customHeight="1">
      <c r="A1016" s="6"/>
      <c r="B1016" s="6"/>
      <c r="C1016" s="6"/>
      <c r="D1016" s="6"/>
      <c r="E1016" s="6"/>
      <c r="F1016" s="89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ht="15.75" customHeight="1">
      <c r="A1017" s="6"/>
      <c r="B1017" s="6"/>
      <c r="C1017" s="6"/>
      <c r="D1017" s="6"/>
      <c r="E1017" s="6"/>
      <c r="F1017" s="89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ht="15.75" customHeight="1">
      <c r="A1018" s="6"/>
      <c r="B1018" s="6"/>
      <c r="C1018" s="6"/>
      <c r="D1018" s="6"/>
      <c r="E1018" s="6"/>
      <c r="F1018" s="89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ht="15.75" customHeight="1">
      <c r="A1019" s="6"/>
      <c r="B1019" s="6"/>
      <c r="C1019" s="6"/>
      <c r="D1019" s="6"/>
      <c r="E1019" s="6"/>
      <c r="F1019" s="89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ht="15.75" customHeight="1">
      <c r="A1020" s="6"/>
      <c r="B1020" s="6"/>
      <c r="C1020" s="6"/>
      <c r="D1020" s="6"/>
      <c r="E1020" s="6"/>
      <c r="F1020" s="89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ht="15.75" customHeight="1">
      <c r="A1021" s="6"/>
      <c r="B1021" s="6"/>
      <c r="C1021" s="6"/>
      <c r="D1021" s="6"/>
      <c r="E1021" s="6"/>
      <c r="F1021" s="89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ht="15.75" customHeight="1">
      <c r="A1022" s="6"/>
      <c r="B1022" s="6"/>
      <c r="C1022" s="6"/>
      <c r="D1022" s="6"/>
      <c r="E1022" s="6"/>
      <c r="F1022" s="89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ht="15.75" customHeight="1">
      <c r="A1023" s="6"/>
      <c r="B1023" s="6"/>
      <c r="C1023" s="6"/>
      <c r="D1023" s="6"/>
      <c r="E1023" s="6"/>
      <c r="F1023" s="89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ht="15.75" customHeight="1">
      <c r="A1024" s="6"/>
      <c r="B1024" s="6"/>
      <c r="C1024" s="6"/>
      <c r="D1024" s="6"/>
      <c r="E1024" s="6"/>
      <c r="F1024" s="89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ht="15.75" customHeight="1">
      <c r="A1025" s="6"/>
      <c r="B1025" s="6"/>
      <c r="C1025" s="6"/>
      <c r="D1025" s="6"/>
      <c r="E1025" s="6"/>
      <c r="F1025" s="89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ht="15.75" customHeight="1">
      <c r="A1026" s="6"/>
      <c r="B1026" s="6"/>
      <c r="C1026" s="6"/>
      <c r="D1026" s="6"/>
      <c r="E1026" s="6"/>
      <c r="F1026" s="89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ht="15.75" customHeight="1">
      <c r="A1027" s="6"/>
      <c r="B1027" s="6"/>
      <c r="C1027" s="6"/>
      <c r="D1027" s="6"/>
      <c r="E1027" s="6"/>
      <c r="F1027" s="89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ht="15.75" customHeight="1">
      <c r="A1028" s="6"/>
      <c r="B1028" s="6"/>
      <c r="C1028" s="6"/>
      <c r="D1028" s="6"/>
      <c r="E1028" s="6"/>
      <c r="F1028" s="89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ht="15.75" customHeight="1">
      <c r="A1029" s="6"/>
      <c r="B1029" s="6"/>
      <c r="C1029" s="6"/>
      <c r="D1029" s="6"/>
      <c r="E1029" s="6"/>
      <c r="F1029" s="89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ht="15.75" customHeight="1">
      <c r="A1030" s="6"/>
      <c r="B1030" s="6"/>
      <c r="C1030" s="6"/>
      <c r="D1030" s="6"/>
      <c r="E1030" s="6"/>
      <c r="F1030" s="89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ht="15.75" customHeight="1">
      <c r="A1031" s="6"/>
      <c r="B1031" s="6"/>
      <c r="C1031" s="6"/>
      <c r="D1031" s="6"/>
      <c r="E1031" s="6"/>
      <c r="F1031" s="89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ht="15.75" customHeight="1">
      <c r="A1032" s="6"/>
      <c r="B1032" s="6"/>
      <c r="C1032" s="6"/>
      <c r="D1032" s="6"/>
      <c r="E1032" s="6"/>
      <c r="F1032" s="89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ht="15.75" customHeight="1">
      <c r="A1033" s="6"/>
      <c r="B1033" s="6"/>
      <c r="C1033" s="6"/>
      <c r="D1033" s="6"/>
      <c r="E1033" s="6"/>
      <c r="F1033" s="89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ht="15.75" customHeight="1">
      <c r="A1034" s="6"/>
      <c r="B1034" s="6"/>
      <c r="C1034" s="6"/>
      <c r="D1034" s="6"/>
      <c r="E1034" s="6"/>
      <c r="F1034" s="89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ht="15.75" customHeight="1">
      <c r="A1035" s="6"/>
      <c r="B1035" s="6"/>
      <c r="C1035" s="6"/>
      <c r="D1035" s="6"/>
      <c r="E1035" s="6"/>
      <c r="F1035" s="89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ht="15.75" customHeight="1">
      <c r="A1036" s="6"/>
      <c r="B1036" s="6"/>
      <c r="C1036" s="6"/>
      <c r="D1036" s="6"/>
      <c r="E1036" s="6"/>
      <c r="F1036" s="89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ht="15.75" customHeight="1">
      <c r="A1037" s="6"/>
      <c r="B1037" s="6"/>
      <c r="C1037" s="6"/>
      <c r="D1037" s="6"/>
      <c r="E1037" s="6"/>
      <c r="F1037" s="89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ht="15.75" customHeight="1">
      <c r="A1038" s="6"/>
      <c r="B1038" s="6"/>
      <c r="C1038" s="6"/>
      <c r="D1038" s="6"/>
      <c r="E1038" s="6"/>
      <c r="F1038" s="89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ht="15.75" customHeight="1">
      <c r="A1039" s="6"/>
      <c r="B1039" s="6"/>
      <c r="C1039" s="6"/>
      <c r="D1039" s="6"/>
      <c r="E1039" s="6"/>
      <c r="F1039" s="89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ht="15.75" customHeight="1">
      <c r="A1040" s="6"/>
      <c r="B1040" s="6"/>
      <c r="C1040" s="6"/>
      <c r="D1040" s="6"/>
      <c r="E1040" s="6"/>
      <c r="F1040" s="89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ht="15.75" customHeight="1">
      <c r="A1041" s="6"/>
      <c r="B1041" s="6"/>
      <c r="C1041" s="6"/>
      <c r="D1041" s="6"/>
      <c r="E1041" s="6"/>
      <c r="F1041" s="89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ht="15.75" customHeight="1">
      <c r="A1042" s="6"/>
      <c r="B1042" s="6"/>
      <c r="C1042" s="6"/>
      <c r="D1042" s="6"/>
      <c r="E1042" s="6"/>
      <c r="F1042" s="89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ht="15.75" customHeight="1">
      <c r="A1043" s="6"/>
      <c r="B1043" s="6"/>
      <c r="C1043" s="6"/>
      <c r="D1043" s="6"/>
      <c r="E1043" s="6"/>
      <c r="F1043" s="89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ht="15.75" customHeight="1">
      <c r="A1044" s="6"/>
      <c r="B1044" s="6"/>
      <c r="C1044" s="6"/>
      <c r="D1044" s="6"/>
      <c r="E1044" s="6"/>
      <c r="F1044" s="89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ht="15.75" customHeight="1">
      <c r="A1045" s="6"/>
      <c r="B1045" s="6"/>
      <c r="C1045" s="6"/>
      <c r="D1045" s="6"/>
      <c r="E1045" s="6"/>
      <c r="F1045" s="89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ht="15.75" customHeight="1">
      <c r="A1046" s="6"/>
      <c r="B1046" s="6"/>
      <c r="C1046" s="6"/>
      <c r="D1046" s="6"/>
      <c r="E1046" s="6"/>
      <c r="F1046" s="89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ht="15.75" customHeight="1">
      <c r="A1047" s="6"/>
      <c r="B1047" s="6"/>
      <c r="C1047" s="6"/>
      <c r="D1047" s="6"/>
      <c r="E1047" s="6"/>
      <c r="F1047" s="89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ht="15.75" customHeight="1">
      <c r="A1048" s="6"/>
      <c r="B1048" s="6"/>
      <c r="C1048" s="6"/>
      <c r="D1048" s="6"/>
      <c r="E1048" s="6"/>
      <c r="F1048" s="89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ht="15.75" customHeight="1">
      <c r="A1049" s="6"/>
      <c r="B1049" s="6"/>
      <c r="C1049" s="6"/>
      <c r="D1049" s="6"/>
      <c r="E1049" s="6"/>
      <c r="F1049" s="89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ht="15.75" customHeight="1">
      <c r="A1050" s="6"/>
      <c r="B1050" s="6"/>
      <c r="C1050" s="6"/>
      <c r="D1050" s="6"/>
      <c r="E1050" s="6"/>
      <c r="F1050" s="89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ht="15.75" customHeight="1">
      <c r="A1051" s="6"/>
      <c r="B1051" s="6"/>
      <c r="C1051" s="6"/>
      <c r="D1051" s="6"/>
      <c r="E1051" s="6"/>
      <c r="F1051" s="89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ht="15.75" customHeight="1">
      <c r="A1052" s="6"/>
      <c r="B1052" s="6"/>
      <c r="C1052" s="6"/>
      <c r="D1052" s="6"/>
      <c r="E1052" s="6"/>
      <c r="F1052" s="89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ht="15.75" customHeight="1">
      <c r="A1053" s="6"/>
      <c r="B1053" s="6"/>
      <c r="C1053" s="6"/>
      <c r="D1053" s="6"/>
      <c r="E1053" s="6"/>
      <c r="F1053" s="89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ht="15.75" customHeight="1">
      <c r="A1054" s="6"/>
      <c r="B1054" s="6"/>
      <c r="C1054" s="6"/>
      <c r="D1054" s="6"/>
      <c r="E1054" s="6"/>
      <c r="F1054" s="89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ht="15.75" customHeight="1">
      <c r="A1055" s="6"/>
      <c r="B1055" s="6"/>
      <c r="C1055" s="6"/>
      <c r="D1055" s="6"/>
      <c r="E1055" s="6"/>
      <c r="F1055" s="89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ht="15.75" customHeight="1">
      <c r="A1056" s="6"/>
      <c r="B1056" s="6"/>
      <c r="C1056" s="6"/>
      <c r="D1056" s="6"/>
      <c r="E1056" s="6"/>
      <c r="F1056" s="89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ht="15.75" customHeight="1">
      <c r="A1057" s="6"/>
      <c r="B1057" s="6"/>
      <c r="C1057" s="6"/>
      <c r="D1057" s="6"/>
      <c r="E1057" s="6"/>
      <c r="F1057" s="89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ht="15.75" customHeight="1">
      <c r="A1058" s="6"/>
      <c r="B1058" s="6"/>
      <c r="C1058" s="6"/>
      <c r="D1058" s="6"/>
      <c r="E1058" s="6"/>
      <c r="F1058" s="89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ht="15.75" customHeight="1">
      <c r="A1059" s="6"/>
      <c r="B1059" s="6"/>
      <c r="C1059" s="6"/>
      <c r="D1059" s="6"/>
      <c r="E1059" s="6"/>
      <c r="F1059" s="89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ht="15.75" customHeight="1">
      <c r="A1060" s="6"/>
      <c r="B1060" s="6"/>
      <c r="C1060" s="6"/>
      <c r="D1060" s="6"/>
      <c r="E1060" s="6"/>
      <c r="F1060" s="89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ht="15.75" customHeight="1">
      <c r="A1061" s="6"/>
      <c r="B1061" s="6"/>
      <c r="C1061" s="6"/>
      <c r="D1061" s="6"/>
      <c r="E1061" s="6"/>
      <c r="F1061" s="89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ht="15.75" customHeight="1">
      <c r="A1062" s="6"/>
      <c r="B1062" s="6"/>
      <c r="C1062" s="6"/>
      <c r="D1062" s="6"/>
      <c r="E1062" s="6"/>
      <c r="F1062" s="89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ht="15.75" customHeight="1">
      <c r="A1063" s="6"/>
      <c r="B1063" s="6"/>
      <c r="C1063" s="6"/>
      <c r="D1063" s="6"/>
      <c r="E1063" s="6"/>
      <c r="F1063" s="89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ht="15.75" customHeight="1">
      <c r="A1064" s="6"/>
      <c r="B1064" s="6"/>
      <c r="C1064" s="6"/>
      <c r="D1064" s="6"/>
      <c r="E1064" s="6"/>
      <c r="F1064" s="89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ht="15.75" customHeight="1">
      <c r="A1065" s="6"/>
      <c r="B1065" s="6"/>
      <c r="C1065" s="6"/>
      <c r="D1065" s="6"/>
      <c r="E1065" s="6"/>
      <c r="F1065" s="89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ht="15.75" customHeight="1">
      <c r="A1066" s="6"/>
      <c r="B1066" s="6"/>
      <c r="C1066" s="6"/>
      <c r="D1066" s="6"/>
      <c r="E1066" s="6"/>
      <c r="F1066" s="89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ht="15.75" customHeight="1">
      <c r="A1067" s="6"/>
      <c r="B1067" s="6"/>
      <c r="C1067" s="6"/>
      <c r="D1067" s="6"/>
      <c r="E1067" s="6"/>
      <c r="F1067" s="89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ht="15.75" customHeight="1">
      <c r="A1068" s="6"/>
      <c r="B1068" s="6"/>
      <c r="C1068" s="6"/>
      <c r="D1068" s="6"/>
      <c r="E1068" s="6"/>
      <c r="F1068" s="89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ht="15.75" customHeight="1">
      <c r="A1069" s="6"/>
      <c r="B1069" s="6"/>
      <c r="C1069" s="6"/>
      <c r="D1069" s="6"/>
      <c r="E1069" s="6"/>
      <c r="F1069" s="89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ht="15.75" customHeight="1">
      <c r="A1070" s="6"/>
      <c r="B1070" s="6"/>
      <c r="C1070" s="6"/>
      <c r="D1070" s="6"/>
      <c r="E1070" s="6"/>
      <c r="F1070" s="89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ht="15.75" customHeight="1">
      <c r="A1071" s="6"/>
      <c r="B1071" s="6"/>
      <c r="C1071" s="6"/>
      <c r="D1071" s="6"/>
      <c r="E1071" s="6"/>
      <c r="F1071" s="89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ht="15.75" customHeight="1">
      <c r="A1072" s="6"/>
      <c r="B1072" s="6"/>
      <c r="C1072" s="6"/>
      <c r="D1072" s="6"/>
      <c r="E1072" s="6"/>
      <c r="F1072" s="89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</row>
    <row r="1073" ht="15.75" customHeight="1">
      <c r="A1073" s="6"/>
      <c r="B1073" s="6"/>
      <c r="C1073" s="6"/>
      <c r="D1073" s="6"/>
      <c r="E1073" s="6"/>
      <c r="F1073" s="89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</row>
    <row r="1074" ht="15.75" customHeight="1">
      <c r="A1074" s="6"/>
      <c r="B1074" s="6"/>
      <c r="C1074" s="6"/>
      <c r="D1074" s="6"/>
      <c r="E1074" s="6"/>
      <c r="F1074" s="89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</row>
    <row r="1075" ht="15.75" customHeight="1">
      <c r="A1075" s="6"/>
      <c r="B1075" s="6"/>
      <c r="C1075" s="6"/>
      <c r="D1075" s="6"/>
      <c r="E1075" s="6"/>
      <c r="F1075" s="89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ht="15.75" customHeight="1">
      <c r="A1076" s="6"/>
      <c r="B1076" s="6"/>
      <c r="C1076" s="6"/>
      <c r="D1076" s="6"/>
      <c r="E1076" s="6"/>
      <c r="F1076" s="89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ht="15.75" customHeight="1">
      <c r="A1077" s="6"/>
      <c r="B1077" s="6"/>
      <c r="C1077" s="6"/>
      <c r="D1077" s="6"/>
      <c r="E1077" s="6"/>
      <c r="F1077" s="89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ht="15.75" customHeight="1">
      <c r="A1078" s="6"/>
      <c r="B1078" s="6"/>
      <c r="C1078" s="6"/>
      <c r="D1078" s="6"/>
      <c r="E1078" s="6"/>
      <c r="F1078" s="89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ht="15.75" customHeight="1">
      <c r="A1079" s="6"/>
      <c r="B1079" s="6"/>
      <c r="C1079" s="6"/>
      <c r="D1079" s="6"/>
      <c r="E1079" s="6"/>
      <c r="F1079" s="89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ht="15.75" customHeight="1">
      <c r="A1080" s="6"/>
      <c r="B1080" s="6"/>
      <c r="C1080" s="6"/>
      <c r="D1080" s="6"/>
      <c r="E1080" s="6"/>
      <c r="F1080" s="89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ht="15.75" customHeight="1">
      <c r="A1081" s="6"/>
      <c r="B1081" s="6"/>
      <c r="C1081" s="6"/>
      <c r="D1081" s="6"/>
      <c r="E1081" s="6"/>
      <c r="F1081" s="89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ht="15.75" customHeight="1">
      <c r="A1082" s="6"/>
      <c r="B1082" s="6"/>
      <c r="C1082" s="6"/>
      <c r="D1082" s="6"/>
      <c r="E1082" s="6"/>
      <c r="F1082" s="89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ht="15.75" customHeight="1">
      <c r="A1083" s="6"/>
      <c r="B1083" s="6"/>
      <c r="C1083" s="6"/>
      <c r="D1083" s="6"/>
      <c r="E1083" s="6"/>
      <c r="F1083" s="89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ht="15.75" customHeight="1">
      <c r="A1084" s="6"/>
      <c r="B1084" s="6"/>
      <c r="C1084" s="6"/>
      <c r="D1084" s="6"/>
      <c r="E1084" s="6"/>
      <c r="F1084" s="89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  <row r="1085" ht="15.75" customHeight="1">
      <c r="A1085" s="6"/>
      <c r="B1085" s="6"/>
      <c r="C1085" s="6"/>
      <c r="D1085" s="6"/>
      <c r="E1085" s="6"/>
      <c r="F1085" s="89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</row>
    <row r="1086" ht="15.75" customHeight="1">
      <c r="A1086" s="6"/>
      <c r="B1086" s="6"/>
      <c r="C1086" s="6"/>
      <c r="D1086" s="6"/>
      <c r="E1086" s="6"/>
      <c r="F1086" s="89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</row>
    <row r="1087" ht="15.75" customHeight="1">
      <c r="A1087" s="6"/>
      <c r="B1087" s="6"/>
      <c r="C1087" s="6"/>
      <c r="D1087" s="6"/>
      <c r="E1087" s="6"/>
      <c r="F1087" s="89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</row>
    <row r="1088" ht="15.75" customHeight="1">
      <c r="A1088" s="6"/>
      <c r="B1088" s="6"/>
      <c r="C1088" s="6"/>
      <c r="D1088" s="6"/>
      <c r="E1088" s="6"/>
      <c r="F1088" s="89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</row>
    <row r="1089" ht="15.75" customHeight="1">
      <c r="A1089" s="6"/>
      <c r="B1089" s="6"/>
      <c r="C1089" s="6"/>
      <c r="D1089" s="6"/>
      <c r="E1089" s="6"/>
      <c r="F1089" s="89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</row>
    <row r="1090" ht="15.75" customHeight="1">
      <c r="A1090" s="6"/>
      <c r="B1090" s="6"/>
      <c r="C1090" s="6"/>
      <c r="D1090" s="6"/>
      <c r="E1090" s="6"/>
      <c r="F1090" s="89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</row>
    <row r="1091" ht="15.75" customHeight="1">
      <c r="A1091" s="6"/>
      <c r="B1091" s="6"/>
      <c r="C1091" s="6"/>
      <c r="D1091" s="6"/>
      <c r="E1091" s="6"/>
      <c r="F1091" s="89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</row>
    <row r="1092" ht="15.75" customHeight="1">
      <c r="A1092" s="6"/>
      <c r="B1092" s="6"/>
      <c r="C1092" s="6"/>
      <c r="D1092" s="6"/>
      <c r="E1092" s="6"/>
      <c r="F1092" s="89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</row>
    <row r="1093" ht="15.75" customHeight="1">
      <c r="A1093" s="6"/>
      <c r="B1093" s="6"/>
      <c r="C1093" s="6"/>
      <c r="D1093" s="6"/>
      <c r="E1093" s="6"/>
      <c r="F1093" s="89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</row>
    <row r="1094" ht="15.75" customHeight="1">
      <c r="A1094" s="6"/>
      <c r="B1094" s="6"/>
      <c r="C1094" s="6"/>
      <c r="D1094" s="6"/>
      <c r="E1094" s="6"/>
      <c r="F1094" s="89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</row>
    <row r="1095" ht="15.75" customHeight="1">
      <c r="A1095" s="6"/>
      <c r="B1095" s="6"/>
      <c r="C1095" s="6"/>
      <c r="D1095" s="6"/>
      <c r="E1095" s="6"/>
      <c r="F1095" s="89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</row>
    <row r="1096" ht="15.75" customHeight="1">
      <c r="A1096" s="6"/>
      <c r="B1096" s="6"/>
      <c r="C1096" s="6"/>
      <c r="D1096" s="6"/>
      <c r="E1096" s="6"/>
      <c r="F1096" s="89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</row>
    <row r="1097" ht="15.75" customHeight="1">
      <c r="A1097" s="6"/>
      <c r="B1097" s="6"/>
      <c r="C1097" s="6"/>
      <c r="D1097" s="6"/>
      <c r="E1097" s="6"/>
      <c r="F1097" s="89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</row>
    <row r="1098" ht="15.75" customHeight="1">
      <c r="A1098" s="6"/>
      <c r="B1098" s="6"/>
      <c r="C1098" s="6"/>
      <c r="D1098" s="6"/>
      <c r="E1098" s="6"/>
      <c r="F1098" s="89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</row>
    <row r="1099" ht="15.75" customHeight="1">
      <c r="A1099" s="6"/>
      <c r="B1099" s="6"/>
      <c r="C1099" s="6"/>
      <c r="D1099" s="6"/>
      <c r="E1099" s="6"/>
      <c r="F1099" s="89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</row>
    <row r="1100" ht="15.75" customHeight="1">
      <c r="A1100" s="6"/>
      <c r="B1100" s="6"/>
      <c r="C1100" s="6"/>
      <c r="D1100" s="6"/>
      <c r="E1100" s="6"/>
      <c r="F1100" s="89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</row>
    <row r="1101" ht="15.75" customHeight="1">
      <c r="A1101" s="6"/>
      <c r="B1101" s="6"/>
      <c r="C1101" s="6"/>
      <c r="D1101" s="6"/>
      <c r="E1101" s="6"/>
      <c r="F1101" s="89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</row>
    <row r="1102" ht="15.75" customHeight="1">
      <c r="A1102" s="6"/>
      <c r="B1102" s="6"/>
      <c r="C1102" s="6"/>
      <c r="D1102" s="6"/>
      <c r="E1102" s="6"/>
      <c r="F1102" s="89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</row>
    <row r="1103" ht="15.75" customHeight="1">
      <c r="A1103" s="6"/>
      <c r="B1103" s="6"/>
      <c r="C1103" s="6"/>
      <c r="D1103" s="6"/>
      <c r="E1103" s="6"/>
      <c r="F1103" s="89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</row>
    <row r="1104" ht="15.75" customHeight="1">
      <c r="A1104" s="6"/>
      <c r="B1104" s="6"/>
      <c r="C1104" s="6"/>
      <c r="D1104" s="6"/>
      <c r="E1104" s="6"/>
      <c r="F1104" s="89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</row>
    <row r="1105" ht="15.75" customHeight="1">
      <c r="A1105" s="6"/>
      <c r="B1105" s="6"/>
      <c r="C1105" s="6"/>
      <c r="D1105" s="6"/>
      <c r="E1105" s="6"/>
      <c r="F1105" s="89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</row>
    <row r="1106" ht="15.75" customHeight="1">
      <c r="A1106" s="6"/>
      <c r="B1106" s="6"/>
      <c r="C1106" s="6"/>
      <c r="D1106" s="6"/>
      <c r="E1106" s="6"/>
      <c r="F1106" s="89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</row>
  </sheetData>
  <mergeCells count="66">
    <mergeCell ref="C36:C37"/>
    <mergeCell ref="C45:C48"/>
    <mergeCell ref="C23:C26"/>
    <mergeCell ref="C27:C30"/>
    <mergeCell ref="B31:B37"/>
    <mergeCell ref="C31:C33"/>
    <mergeCell ref="C34:C35"/>
    <mergeCell ref="B38:B43"/>
    <mergeCell ref="B45:B57"/>
    <mergeCell ref="B23:B30"/>
    <mergeCell ref="B66:B72"/>
    <mergeCell ref="B73:B77"/>
    <mergeCell ref="B78:B87"/>
    <mergeCell ref="B89:B100"/>
    <mergeCell ref="B101:B107"/>
    <mergeCell ref="B108:B113"/>
    <mergeCell ref="B114:B122"/>
    <mergeCell ref="B123:B131"/>
    <mergeCell ref="B58:B65"/>
    <mergeCell ref="C58:C61"/>
    <mergeCell ref="C62:C63"/>
    <mergeCell ref="C64:C65"/>
    <mergeCell ref="C66:C68"/>
    <mergeCell ref="C69:C70"/>
    <mergeCell ref="C71:C72"/>
    <mergeCell ref="C73:C75"/>
    <mergeCell ref="C76:C77"/>
    <mergeCell ref="C78:C80"/>
    <mergeCell ref="C81:C85"/>
    <mergeCell ref="C86:C87"/>
    <mergeCell ref="C89:C92"/>
    <mergeCell ref="C93:C100"/>
    <mergeCell ref="C126:C128"/>
    <mergeCell ref="C129:C131"/>
    <mergeCell ref="C101:C107"/>
    <mergeCell ref="C108:C110"/>
    <mergeCell ref="C111:C112"/>
    <mergeCell ref="C114:C116"/>
    <mergeCell ref="C117:C119"/>
    <mergeCell ref="C120:C122"/>
    <mergeCell ref="C123:C125"/>
    <mergeCell ref="H7:H8"/>
    <mergeCell ref="I7:I8"/>
    <mergeCell ref="J7:K7"/>
    <mergeCell ref="L7:L8"/>
    <mergeCell ref="M7:M8"/>
    <mergeCell ref="N7:N8"/>
    <mergeCell ref="A1:C1"/>
    <mergeCell ref="A2:C2"/>
    <mergeCell ref="B6:D6"/>
    <mergeCell ref="G6:O6"/>
    <mergeCell ref="B7:B8"/>
    <mergeCell ref="C7:C8"/>
    <mergeCell ref="D7:D8"/>
    <mergeCell ref="O7:O8"/>
    <mergeCell ref="F7:F8"/>
    <mergeCell ref="G7:G8"/>
    <mergeCell ref="B9:D9"/>
    <mergeCell ref="B14:D14"/>
    <mergeCell ref="C16:C19"/>
    <mergeCell ref="C20:C22"/>
    <mergeCell ref="B16:B22"/>
    <mergeCell ref="C38:C40"/>
    <mergeCell ref="C41:C43"/>
    <mergeCell ref="C49:C54"/>
    <mergeCell ref="C55:C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5.0"/>
    <col customWidth="1" min="3" max="3" width="27.63"/>
    <col customWidth="1" min="4" max="4" width="37.5"/>
    <col customWidth="1" min="5" max="5" width="24.38"/>
  </cols>
  <sheetData>
    <row r="1">
      <c r="A1" s="90"/>
      <c r="B1" s="90" t="s">
        <v>9</v>
      </c>
      <c r="C1" s="91" t="s">
        <v>10</v>
      </c>
      <c r="D1" s="91" t="s">
        <v>11</v>
      </c>
    </row>
    <row r="2">
      <c r="A2" s="92"/>
      <c r="B2" s="92" t="s">
        <v>184</v>
      </c>
      <c r="C2" s="93" t="s">
        <v>185</v>
      </c>
      <c r="D2" s="93" t="s">
        <v>186</v>
      </c>
      <c r="E2" s="91" t="s">
        <v>187</v>
      </c>
    </row>
    <row r="3">
      <c r="A3" s="91"/>
      <c r="B3" s="90" t="s">
        <v>188</v>
      </c>
      <c r="C3" s="91" t="s">
        <v>189</v>
      </c>
      <c r="D3" s="91" t="s">
        <v>190</v>
      </c>
    </row>
    <row r="4">
      <c r="D4" s="91" t="s">
        <v>191</v>
      </c>
    </row>
    <row r="5">
      <c r="D5" s="91" t="s">
        <v>192</v>
      </c>
    </row>
    <row r="6">
      <c r="C6" s="91" t="s">
        <v>193</v>
      </c>
      <c r="D6" s="91" t="s">
        <v>194</v>
      </c>
    </row>
    <row r="7">
      <c r="A7" s="91"/>
      <c r="D7" s="91" t="s">
        <v>195</v>
      </c>
    </row>
    <row r="8">
      <c r="A8" s="91"/>
    </row>
    <row r="9">
      <c r="A9" s="91"/>
    </row>
    <row r="10">
      <c r="B10" s="91" t="s">
        <v>196</v>
      </c>
      <c r="C10" s="91" t="s">
        <v>197</v>
      </c>
      <c r="D10" s="91" t="s">
        <v>198</v>
      </c>
    </row>
    <row r="12">
      <c r="C12" s="91" t="s">
        <v>199</v>
      </c>
      <c r="D12" s="91" t="s">
        <v>200</v>
      </c>
    </row>
    <row r="14">
      <c r="C14" s="91" t="s">
        <v>201</v>
      </c>
      <c r="D14" s="91" t="s">
        <v>202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